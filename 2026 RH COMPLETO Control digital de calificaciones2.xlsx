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RH\"/>
    </mc:Choice>
  </mc:AlternateContent>
  <xr:revisionPtr revIDLastSave="0" documentId="13_ncr:1_{657DEA46-B1EC-4F37-AF1D-E63D26F7D389}" xr6:coauthVersionLast="47" xr6:coauthVersionMax="47" xr10:uidLastSave="{00000000-0000-0000-0000-000000000000}"/>
  <bookViews>
    <workbookView xWindow="-96" yWindow="-96" windowWidth="23232" windowHeight="12432" xr2:uid="{604F875C-74B3-4FD3-9399-B3EB0D69299D}"/>
  </bookViews>
  <sheets>
    <sheet name="20025" sheetId="1" r:id="rId1"/>
    <sheet name="Hoja1" sheetId="2" r:id="rId2"/>
  </sheets>
  <definedNames>
    <definedName name="_xlnm._FilterDatabase" localSheetId="0" hidden="1">'20025'!$A$7:$T$133</definedName>
    <definedName name="_xlnm.Print_Area" localSheetId="0">'20025'!$A$1:$T$37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5" i="1" l="1"/>
  <c r="H33" i="1"/>
  <c r="Q33" i="1" s="1"/>
  <c r="K46" i="1"/>
  <c r="H133" i="1"/>
  <c r="Q133" i="1" s="1"/>
  <c r="H69" i="1"/>
  <c r="N59" i="1"/>
  <c r="N63" i="1"/>
  <c r="H45" i="1" l="1"/>
  <c r="K56" i="1" l="1"/>
  <c r="H132" i="1"/>
  <c r="Q132" i="1" s="1"/>
  <c r="H131" i="1"/>
  <c r="Q131" i="1" s="1"/>
  <c r="H130" i="1"/>
  <c r="Q130" i="1" s="1"/>
  <c r="H129" i="1"/>
  <c r="Q129" i="1" s="1"/>
  <c r="H128" i="1"/>
  <c r="Q128" i="1" s="1"/>
  <c r="H127" i="1"/>
  <c r="Q127" i="1" s="1"/>
  <c r="H126" i="1"/>
  <c r="Q126" i="1" s="1"/>
  <c r="N92" i="1"/>
  <c r="N90" i="1"/>
  <c r="Q90" i="1" s="1"/>
  <c r="N89" i="1"/>
  <c r="N85" i="1"/>
  <c r="N87" i="1"/>
  <c r="Q87" i="1" s="1"/>
  <c r="N88" i="1"/>
  <c r="H106" i="1"/>
  <c r="Q106" i="1" s="1"/>
  <c r="H79" i="1"/>
  <c r="Q79" i="1" s="1"/>
  <c r="K62" i="1"/>
  <c r="H63" i="1"/>
  <c r="N84" i="1" l="1"/>
  <c r="N83" i="1"/>
  <c r="N82" i="1"/>
  <c r="N81" i="1"/>
  <c r="N80" i="1"/>
  <c r="N78" i="1"/>
  <c r="N77" i="1"/>
  <c r="N76" i="1"/>
  <c r="N75" i="1"/>
  <c r="N73" i="1"/>
  <c r="N71" i="1"/>
  <c r="N68" i="1"/>
  <c r="N67" i="1"/>
  <c r="N66" i="1"/>
  <c r="N65" i="1"/>
  <c r="N62" i="1"/>
  <c r="H125" i="1"/>
  <c r="Q125" i="1" s="1"/>
  <c r="H124" i="1"/>
  <c r="Q124" i="1" s="1"/>
  <c r="H123" i="1"/>
  <c r="Q123" i="1" s="1"/>
  <c r="H122" i="1"/>
  <c r="Q122" i="1" s="1"/>
  <c r="H121" i="1"/>
  <c r="Q121" i="1" s="1"/>
  <c r="H120" i="1"/>
  <c r="Q120" i="1" s="1"/>
  <c r="H119" i="1"/>
  <c r="Q119" i="1" s="1"/>
  <c r="H118" i="1"/>
  <c r="Q118" i="1" s="1"/>
  <c r="H116" i="1"/>
  <c r="Q116" i="1" s="1"/>
  <c r="H114" i="1"/>
  <c r="Q114" i="1" s="1"/>
  <c r="H113" i="1"/>
  <c r="Q113" i="1" s="1"/>
  <c r="H112" i="1"/>
  <c r="Q112" i="1" s="1"/>
  <c r="H111" i="1"/>
  <c r="Q111" i="1" s="1"/>
  <c r="H110" i="1"/>
  <c r="Q110" i="1" s="1"/>
  <c r="H109" i="1"/>
  <c r="Q109" i="1" s="1"/>
  <c r="H108" i="1"/>
  <c r="Q108" i="1" s="1"/>
  <c r="H107" i="1"/>
  <c r="Q107" i="1" s="1"/>
  <c r="H105" i="1"/>
  <c r="Q105" i="1" s="1"/>
  <c r="H104" i="1"/>
  <c r="Q104" i="1" s="1"/>
  <c r="H103" i="1"/>
  <c r="Q103" i="1" s="1"/>
  <c r="H102" i="1"/>
  <c r="Q102" i="1" s="1"/>
  <c r="H100" i="1"/>
  <c r="N100" i="1" s="1"/>
  <c r="Q100" i="1" s="1"/>
  <c r="H99" i="1"/>
  <c r="N99" i="1" s="1"/>
  <c r="Q99" i="1" s="1"/>
  <c r="H98" i="1"/>
  <c r="N98" i="1" s="1"/>
  <c r="H94" i="1"/>
  <c r="N94" i="1" s="1"/>
  <c r="H92" i="1"/>
  <c r="H90" i="1"/>
  <c r="H89" i="1"/>
  <c r="H88" i="1"/>
  <c r="H87" i="1"/>
  <c r="H85" i="1"/>
  <c r="H84" i="1"/>
  <c r="H83" i="1"/>
  <c r="H82" i="1"/>
  <c r="H81" i="1"/>
  <c r="H80" i="1"/>
  <c r="H78" i="1"/>
  <c r="H77" i="1"/>
  <c r="H76" i="1"/>
  <c r="H75" i="1"/>
  <c r="H74" i="1"/>
  <c r="Q74" i="1" s="1"/>
  <c r="H73" i="1"/>
  <c r="H71" i="1"/>
  <c r="H70" i="1"/>
  <c r="N70" i="1" s="1"/>
  <c r="H68" i="1"/>
  <c r="H67" i="1"/>
  <c r="H66" i="1"/>
  <c r="H65" i="1"/>
  <c r="H64" i="1"/>
  <c r="H62" i="1"/>
  <c r="H8" i="1" l="1"/>
  <c r="N47" i="1"/>
  <c r="N49" i="1"/>
  <c r="N50" i="1"/>
  <c r="N52" i="1"/>
  <c r="N54" i="1"/>
  <c r="N60" i="1"/>
  <c r="N58" i="1"/>
  <c r="N56" i="1"/>
  <c r="N57" i="1"/>
  <c r="K58" i="1"/>
  <c r="K54" i="1"/>
  <c r="K52" i="1"/>
  <c r="N44" i="1"/>
  <c r="N41" i="1"/>
  <c r="N40" i="1"/>
  <c r="N39" i="1"/>
  <c r="N38" i="1"/>
  <c r="N36" i="1"/>
  <c r="N35" i="1"/>
  <c r="K8" i="1"/>
  <c r="N8" i="1" s="1"/>
  <c r="K12" i="1"/>
  <c r="K14" i="1"/>
  <c r="N14" i="1" s="1"/>
  <c r="K17" i="1"/>
  <c r="K20" i="1"/>
  <c r="K21" i="1"/>
  <c r="N21" i="1" s="1"/>
  <c r="K22" i="1"/>
  <c r="K25" i="1"/>
  <c r="K26" i="1"/>
  <c r="K28" i="1"/>
  <c r="K30" i="1"/>
  <c r="N30" i="1" s="1"/>
  <c r="K31" i="1"/>
  <c r="K32" i="1"/>
  <c r="K47" i="1"/>
  <c r="K49" i="1"/>
  <c r="K50" i="1"/>
  <c r="N51" i="1"/>
  <c r="N37" i="1"/>
  <c r="N32" i="1"/>
  <c r="N31" i="1"/>
  <c r="N29" i="1"/>
  <c r="N28" i="1"/>
  <c r="N27" i="1"/>
  <c r="N26" i="1"/>
  <c r="N25" i="1"/>
  <c r="N23" i="1"/>
  <c r="N22" i="1"/>
  <c r="N20" i="1"/>
  <c r="N17" i="1"/>
  <c r="N12" i="1"/>
  <c r="N10" i="1"/>
  <c r="N9" i="1"/>
  <c r="N53" i="1"/>
  <c r="H34" i="1"/>
  <c r="H22" i="1"/>
  <c r="H14" i="1"/>
  <c r="H10" i="1"/>
  <c r="K10" i="1" s="1"/>
  <c r="H9" i="1"/>
  <c r="K9" i="1" s="1"/>
  <c r="H61" i="1"/>
  <c r="Q61" i="1" s="1"/>
  <c r="H60" i="1"/>
  <c r="K60" i="1" s="1"/>
  <c r="H59" i="1"/>
  <c r="K59" i="1" s="1"/>
  <c r="H58" i="1"/>
  <c r="H57" i="1"/>
  <c r="H56" i="1"/>
  <c r="H55" i="1"/>
  <c r="K55" i="1" s="1"/>
  <c r="N55" i="1" s="1"/>
  <c r="H54" i="1"/>
  <c r="H53" i="1"/>
  <c r="H52" i="1"/>
  <c r="H51" i="1"/>
  <c r="H50" i="1"/>
  <c r="H49" i="1"/>
  <c r="H48" i="1"/>
  <c r="K48" i="1" s="1"/>
  <c r="N48" i="1" s="1"/>
  <c r="H47" i="1"/>
  <c r="H46" i="1"/>
  <c r="N46" i="1" s="1"/>
  <c r="H44" i="1"/>
  <c r="H43" i="1"/>
  <c r="Q43" i="1" s="1"/>
  <c r="H42" i="1"/>
  <c r="Q42" i="1" s="1"/>
  <c r="H41" i="1"/>
  <c r="K41" i="1" s="1"/>
  <c r="H40" i="1"/>
  <c r="K40" i="1" s="1"/>
  <c r="H39" i="1"/>
  <c r="H38" i="1"/>
  <c r="H37" i="1"/>
  <c r="H36" i="1"/>
  <c r="H35" i="1"/>
  <c r="K35" i="1" s="1"/>
  <c r="H32" i="1"/>
  <c r="H31" i="1"/>
  <c r="H30" i="1"/>
  <c r="H29" i="1"/>
  <c r="H28" i="1"/>
  <c r="H27" i="1"/>
  <c r="H26" i="1"/>
  <c r="H25" i="1"/>
  <c r="H24" i="1"/>
  <c r="Q24" i="1" s="1"/>
  <c r="H23" i="1"/>
  <c r="H19" i="1"/>
  <c r="K19" i="1" s="1"/>
  <c r="H17" i="1"/>
  <c r="H16" i="1"/>
  <c r="K16" i="1" s="1"/>
  <c r="H15" i="1"/>
  <c r="K15" i="1" s="1"/>
  <c r="H12" i="1"/>
  <c r="H11" i="1"/>
  <c r="K11" i="1" s="1"/>
  <c r="N16" i="1" l="1"/>
  <c r="N11" i="1"/>
  <c r="N15" i="1"/>
</calcChain>
</file>

<file path=xl/sharedStrings.xml><?xml version="1.0" encoding="utf-8"?>
<sst xmlns="http://schemas.openxmlformats.org/spreadsheetml/2006/main" count="867" uniqueCount="333">
  <si>
    <t>Próximas a Vencer</t>
  </si>
  <si>
    <t>Vencidas</t>
  </si>
  <si>
    <t>No. Empleado</t>
  </si>
  <si>
    <t>Nombre Completo</t>
  </si>
  <si>
    <t>F. Ingreso</t>
  </si>
  <si>
    <t>F. Ingreso Capacitacion/Cambio de Puesto</t>
  </si>
  <si>
    <t>Puesto</t>
  </si>
  <si>
    <t>Departamento</t>
  </si>
  <si>
    <t>Observaciones</t>
  </si>
  <si>
    <t>Control Digital de Calificaciones</t>
  </si>
  <si>
    <t>Frias Arredondo, Leobino</t>
  </si>
  <si>
    <t>Acosta Villela, Jose Luis</t>
  </si>
  <si>
    <t>Muzquiz Aispuro, Sebastian Baldomero</t>
  </si>
  <si>
    <t>Contreras Contreras, Jared Judit</t>
  </si>
  <si>
    <t>Higuera Mascareño, Carmen Julia</t>
  </si>
  <si>
    <t>Flores Gallardo, Mirtha</t>
  </si>
  <si>
    <t>Corrales Sanchez, Fernando</t>
  </si>
  <si>
    <t>Ramirez Garcia, Margarita</t>
  </si>
  <si>
    <t>Marchan Alvarez, Ana Lucia</t>
  </si>
  <si>
    <t>Garcia Garcia, Juan Manuel</t>
  </si>
  <si>
    <t>Soto Armenta, Adrian</t>
  </si>
  <si>
    <t>Castro Gonzalez, Mirella</t>
  </si>
  <si>
    <t>Flores Sauceda, Jose Alfredo</t>
  </si>
  <si>
    <t>Morales Gonzalez, Jemy Joaquin</t>
  </si>
  <si>
    <t>Yepiz Jara, Blanca Eliza</t>
  </si>
  <si>
    <t>Corrales Hernandez, Daniel</t>
  </si>
  <si>
    <t>Celaya Lopez, Karen Jazmin</t>
  </si>
  <si>
    <t>Montoya Ahumada, Jesus Jhaziel</t>
  </si>
  <si>
    <t>Galaviz Angulo, America</t>
  </si>
  <si>
    <t>Sanchez Martinez, Gabriela</t>
  </si>
  <si>
    <t>Cifuentes Caniz, Jessica Beatriz</t>
  </si>
  <si>
    <t>Esperilla Muñoz, Rodrigo</t>
  </si>
  <si>
    <t>Gomez Luna, Juan Manuel</t>
  </si>
  <si>
    <t>Galindo Montiel, Yocelin Marlen</t>
  </si>
  <si>
    <t>Bajo Gonzalez, Samuel</t>
  </si>
  <si>
    <t>Gonzalez Petrel, Ricardo Damian</t>
  </si>
  <si>
    <t>Valle Bautista, Gabriela Susana</t>
  </si>
  <si>
    <t>Martinez Garcia, Daniel</t>
  </si>
  <si>
    <t>Constantino Morales, Ricardo</t>
  </si>
  <si>
    <t>Granados Campos, Raymundo</t>
  </si>
  <si>
    <t>Martinez Mendez, Abigail</t>
  </si>
  <si>
    <t>Beltran Gutierrez, Pedro Leonel</t>
  </si>
  <si>
    <t>Carrillo Valenzuela, Monica</t>
  </si>
  <si>
    <t>Ordoñez Conde, Alfredo</t>
  </si>
  <si>
    <t>Sauceda Medina, Ma. Odilia</t>
  </si>
  <si>
    <t>Lopez Partida, Marlen</t>
  </si>
  <si>
    <t>Sandoval Perez, Elizabeth</t>
  </si>
  <si>
    <t>Reyes Alvarado, Rafael</t>
  </si>
  <si>
    <t>Rosas Ramirez, Guido Ulises</t>
  </si>
  <si>
    <t>Peña Leon, Michelle Margarita</t>
  </si>
  <si>
    <t>Felix Lopez, Jesus Heriberto</t>
  </si>
  <si>
    <t>Hernandez Lopez, Luis Antonio</t>
  </si>
  <si>
    <t>Velarde Gonzalez, Jesus Geovanny</t>
  </si>
  <si>
    <t>Montes Hernandez, Monica Yareth</t>
  </si>
  <si>
    <t>Eyraud Ruiz, Daniela</t>
  </si>
  <si>
    <t>Torres Lara, Jessica Sarai</t>
  </si>
  <si>
    <t>Rodriguez Flores, Gema Del Mar</t>
  </si>
  <si>
    <t>Noriega Ramirez, Moises</t>
  </si>
  <si>
    <t>Martinez Ramirez, Alan Omar</t>
  </si>
  <si>
    <t>Martinez Navarro, Brianda</t>
  </si>
  <si>
    <t>Crudo Hernandez, Suny Elizabeth</t>
  </si>
  <si>
    <t>Palencia Lara, Maria Elena</t>
  </si>
  <si>
    <t>Duarte Roman, Felix Ivan</t>
  </si>
  <si>
    <t>Haro De Anda, Andres</t>
  </si>
  <si>
    <t>Peralta Osuna, Elia Beatriz</t>
  </si>
  <si>
    <t>Garcia Pelaez, Jasmin Iveth</t>
  </si>
  <si>
    <t>Labra Morales, Roberto</t>
  </si>
  <si>
    <t>Arellano Oseguera, Isabel Cristina</t>
  </si>
  <si>
    <t>Esqueda Valencia, Bibiana</t>
  </si>
  <si>
    <t>Jimenez Rodriguez, Perla Yadira</t>
  </si>
  <si>
    <t>Montes Simental, Rosalinda</t>
  </si>
  <si>
    <t>Ramirez Yahuaca, Josue</t>
  </si>
  <si>
    <t>Cedillo Martin, Miguel Angel</t>
  </si>
  <si>
    <t>Villa Perez, Alvaro</t>
  </si>
  <si>
    <t>Hernandez Montes De Oca, Gerardo</t>
  </si>
  <si>
    <t>Acosta Ortega, Santos Leopoldo</t>
  </si>
  <si>
    <t>Gonzalez Quiroz, Damaris Amelia</t>
  </si>
  <si>
    <t>Dorantes Izquierdo, Brian</t>
  </si>
  <si>
    <t>Aguirre Estrada, Jose Guillermo</t>
  </si>
  <si>
    <t>Suja De Leon, Ana Mariela</t>
  </si>
  <si>
    <t>Lucas Gonzalez, Amellalli</t>
  </si>
  <si>
    <t>Guevara Valdez, Diego</t>
  </si>
  <si>
    <t>Viveros Arevalo, Maria De La Luz</t>
  </si>
  <si>
    <t>Rios Gonzalez, Victor Hugo</t>
  </si>
  <si>
    <t>Garcia Villa, Azeneth</t>
  </si>
  <si>
    <t>Garcia Miranda, Humberto</t>
  </si>
  <si>
    <t>Quirarte Hernandez, Maria Guadalupe</t>
  </si>
  <si>
    <t>Corrales Ledezma, Jorge Manuel</t>
  </si>
  <si>
    <t>Gatica Ramos, Jose Manuel</t>
  </si>
  <si>
    <t>Ayub Castillo, Verenice</t>
  </si>
  <si>
    <t>Torres Vazquez, Laura</t>
  </si>
  <si>
    <t>Vara Federico, Maria Elena</t>
  </si>
  <si>
    <t>Caro Ibarra, Alondra Abigail</t>
  </si>
  <si>
    <t>Olvera Guerrero, Angel De Jesus</t>
  </si>
  <si>
    <t>Palafox Camacho, Selene Vianey</t>
  </si>
  <si>
    <t>Guevara Alcaraz, Anigel</t>
  </si>
  <si>
    <t>Juarez Salamanca, Katya</t>
  </si>
  <si>
    <t>Tamayo Navarro, Samuel Arturo</t>
  </si>
  <si>
    <t>Olvera Hernandez, Hector Alejandro</t>
  </si>
  <si>
    <t>Salazar Pacheco, Erika</t>
  </si>
  <si>
    <t>Chacon Gorostieta, Genaro Ruben</t>
  </si>
  <si>
    <t>Martinez Partida, Herson Armando</t>
  </si>
  <si>
    <t>Anaya Leon, Daniela</t>
  </si>
  <si>
    <t>De Leon Villarreal, Isaac</t>
  </si>
  <si>
    <t>Arroyo Gonzalez, Danai Alejandra</t>
  </si>
  <si>
    <t>Guevara Benitez, Enoc</t>
  </si>
  <si>
    <t>Monola Sanchez, Sheyla Dayanne</t>
  </si>
  <si>
    <t>Auxiliar De Mantenimiento</t>
  </si>
  <si>
    <t>Almacenista</t>
  </si>
  <si>
    <t>Jefe de Logistica y Compras</t>
  </si>
  <si>
    <t>Operador de Produccion A</t>
  </si>
  <si>
    <t>Supervisor de Mantenimiento</t>
  </si>
  <si>
    <t>Coordinador de Ingenieria de Empaque</t>
  </si>
  <si>
    <t>Jefe de Administracion y Finanzas</t>
  </si>
  <si>
    <t>Auxiliar Documental de Almacen</t>
  </si>
  <si>
    <t>Jefe De Almacen</t>
  </si>
  <si>
    <t>Coordinador De Almacen</t>
  </si>
  <si>
    <t>Operador de Acondicionamiento C</t>
  </si>
  <si>
    <t>Ayudante General</t>
  </si>
  <si>
    <t>Jefe de Aseguramiento y Gestion de Calidad</t>
  </si>
  <si>
    <t>Quimico de Gestion</t>
  </si>
  <si>
    <t>Jefe de Control de Calidad</t>
  </si>
  <si>
    <t>Quimico de Documentacion</t>
  </si>
  <si>
    <t>Operador de Produccion C</t>
  </si>
  <si>
    <t>Operador de Produccion B</t>
  </si>
  <si>
    <t>Quimico Analista de Fisicoquimico A</t>
  </si>
  <si>
    <t>Coordinador De Fisicoquimicos</t>
  </si>
  <si>
    <t>Jefe de Fabricación</t>
  </si>
  <si>
    <t>Gerente de Ingeniería y Mantenimiento</t>
  </si>
  <si>
    <t>Supervisor de Desarrollo</t>
  </si>
  <si>
    <t>Quimico de Desarrollo Analitico A</t>
  </si>
  <si>
    <t>Recepcionista</t>
  </si>
  <si>
    <t>Auxiliar de Laboratorio</t>
  </si>
  <si>
    <t>Auxiliar Documental</t>
  </si>
  <si>
    <t>Auxiliar de Intendencia</t>
  </si>
  <si>
    <t>Supervisor De Produccion</t>
  </si>
  <si>
    <t>Quimico Analista De Fisicoquimicos B</t>
  </si>
  <si>
    <t>Inspector de Calidad B</t>
  </si>
  <si>
    <t>Coordinador De Microbiologia</t>
  </si>
  <si>
    <t>Quimico De Formulaciones B</t>
  </si>
  <si>
    <t>Auxiliar Documental de Mantenimiento</t>
  </si>
  <si>
    <t>Ejecutivo de Ventas</t>
  </si>
  <si>
    <t>Quimico Analista De Fisicoquimicos C</t>
  </si>
  <si>
    <t>Contador General</t>
  </si>
  <si>
    <t>Químico De Desarrollo Analítico B</t>
  </si>
  <si>
    <t>Quimico Analista De Microbiologia C</t>
  </si>
  <si>
    <t>Gerente De Planta</t>
  </si>
  <si>
    <t>Asistente de Recursos Humanos</t>
  </si>
  <si>
    <t>Químico de Validación C</t>
  </si>
  <si>
    <t>Inspector de Calidad C</t>
  </si>
  <si>
    <t>Gerente Unidad de Calidad y Responsable Sanitario</t>
  </si>
  <si>
    <t>Jefe de Asuntos Regulatorios y Farmacovigilancia</t>
  </si>
  <si>
    <t>Gerente de Ventas</t>
  </si>
  <si>
    <t>Jefe De Recursos Humanos</t>
  </si>
  <si>
    <t>Supervisor de Seguridad e Higiene</t>
  </si>
  <si>
    <t>Jefe De Validación</t>
  </si>
  <si>
    <t>Direccion</t>
  </si>
  <si>
    <t>V</t>
  </si>
  <si>
    <t>E</t>
  </si>
  <si>
    <t>P</t>
  </si>
  <si>
    <t>Contreras Benitez, Andrea Joseline</t>
  </si>
  <si>
    <t>Curiel Muzquiz, Eva Beatriz</t>
  </si>
  <si>
    <t>Angulo Cardenas, Brenda Elizabeth</t>
  </si>
  <si>
    <t>Trujillo Gutierrez, Daniel</t>
  </si>
  <si>
    <t>Bautista Flores, Erick Gabriel</t>
  </si>
  <si>
    <t>Villalobos Vazquez, Alba Nair</t>
  </si>
  <si>
    <t>Ortiz Guillen, Michelle Alejandra</t>
  </si>
  <si>
    <t>Sanchez Tellez, Otoniel</t>
  </si>
  <si>
    <t>Noriega Medrano, Felipe De Jesus</t>
  </si>
  <si>
    <t>Peralta Guevara, Sergio Andres</t>
  </si>
  <si>
    <t>Herrera Rios, Juan Miguel</t>
  </si>
  <si>
    <t>Montes De Oca Piantta, Raul Alfredo</t>
  </si>
  <si>
    <t>Espinosa Rodriguez, Hector Ivan</t>
  </si>
  <si>
    <t>Rios Ancheta, Bernabe</t>
  </si>
  <si>
    <t>Contreras Castillo, Raul Armando</t>
  </si>
  <si>
    <t>Arvizu Sanchez, Andrea Jaquelinee</t>
  </si>
  <si>
    <t>Garcia Verdugo, Angelica</t>
  </si>
  <si>
    <t>Inzunza Perea, Netziely Sujey</t>
  </si>
  <si>
    <t>Garcia Verdugo, Ramona</t>
  </si>
  <si>
    <t>Dominguez Trejo, Fatima Ayde</t>
  </si>
  <si>
    <t>Lopez Rodriguez, David Osvaldo</t>
  </si>
  <si>
    <t>Quimico Analista De Microbiologia B</t>
  </si>
  <si>
    <t>Tecnico de Seguridad e Higiene</t>
  </si>
  <si>
    <t>Coordinador De Aseguramiento De Calidad</t>
  </si>
  <si>
    <t>Jefe de Cadena de Suministros</t>
  </si>
  <si>
    <t>Ayudante General de Producción</t>
  </si>
  <si>
    <t>Auxiliar de Cuentas por Cobrar y Facturacion</t>
  </si>
  <si>
    <t>Analista de Cuentas Por Cobrar</t>
  </si>
  <si>
    <t>Quimico de Formulaciones C</t>
  </si>
  <si>
    <t>22/abr/2024</t>
  </si>
  <si>
    <t>v</t>
  </si>
  <si>
    <t>02/may/2024</t>
  </si>
  <si>
    <t>p</t>
  </si>
  <si>
    <t>29/abr/22024</t>
  </si>
  <si>
    <t>e</t>
  </si>
  <si>
    <t>17/may/2024</t>
  </si>
  <si>
    <t>29/10/2023</t>
  </si>
  <si>
    <t>23/02/2024</t>
  </si>
  <si>
    <t>24/abr/2023</t>
  </si>
  <si>
    <t>No hubo entrega de cal. Anual del 2025 y 2026</t>
  </si>
  <si>
    <t xml:space="preserve">No hubo enttega del Cal Anual del 2024 </t>
  </si>
  <si>
    <t>28/oct/2024</t>
  </si>
  <si>
    <t>30/abr/2024</t>
  </si>
  <si>
    <t>28/08/2023</t>
  </si>
  <si>
    <t>06/ene/2026</t>
  </si>
  <si>
    <t>N/A</t>
  </si>
  <si>
    <t>SE CALIFICA EL 06/01/2027</t>
  </si>
  <si>
    <t>24/abr/2024</t>
  </si>
  <si>
    <t>02/may/2023</t>
  </si>
  <si>
    <t xml:space="preserve">No hay entregas de cal Anuales del 2023,2024 y 2025 </t>
  </si>
  <si>
    <t>16/feb/2023</t>
  </si>
  <si>
    <t>02/jun/2023</t>
  </si>
  <si>
    <t>02/mar/2024</t>
  </si>
  <si>
    <t>31/ene/2024</t>
  </si>
  <si>
    <t>06/jun/2024</t>
  </si>
  <si>
    <t>03/mar/2025</t>
  </si>
  <si>
    <t>18/jul/2024</t>
  </si>
  <si>
    <t>27/jun/2025</t>
  </si>
  <si>
    <t>07/jul/2025</t>
  </si>
  <si>
    <t xml:space="preserve"> </t>
  </si>
  <si>
    <t>27/ago/2024</t>
  </si>
  <si>
    <t>06/sep/2024</t>
  </si>
  <si>
    <t>03/oct/2024</t>
  </si>
  <si>
    <t>14/jul/2025</t>
  </si>
  <si>
    <t>14/ju/25</t>
  </si>
  <si>
    <t>02/dic/2024</t>
  </si>
  <si>
    <t>25/oct/2025</t>
  </si>
  <si>
    <t>05/dic/24</t>
  </si>
  <si>
    <t>27/jun/25</t>
  </si>
  <si>
    <t>12/03/2025</t>
  </si>
  <si>
    <t>22/08/2025</t>
  </si>
  <si>
    <t>21/04/2025</t>
  </si>
  <si>
    <t>23/04/2025</t>
  </si>
  <si>
    <t>12/05/2025</t>
  </si>
  <si>
    <t>27/05/2025</t>
  </si>
  <si>
    <t>08/06/2025</t>
  </si>
  <si>
    <t>02/09/2025</t>
  </si>
  <si>
    <t>02/06/2025</t>
  </si>
  <si>
    <t>13/06/2025</t>
  </si>
  <si>
    <t>23/06/2025</t>
  </si>
  <si>
    <t>20/06/2025</t>
  </si>
  <si>
    <t>07/08/2025</t>
  </si>
  <si>
    <t>13/08/2025</t>
  </si>
  <si>
    <t>03/07/2025</t>
  </si>
  <si>
    <t>N.A</t>
  </si>
  <si>
    <t>04/09/2025</t>
  </si>
  <si>
    <t>23/09/2025</t>
  </si>
  <si>
    <t>26/09/2025</t>
  </si>
  <si>
    <t>03/10/2025</t>
  </si>
  <si>
    <t>31/10/2025</t>
  </si>
  <si>
    <t>10/10/2025</t>
  </si>
  <si>
    <t>20/01/2026</t>
  </si>
  <si>
    <t>FALTA EV. ANUAL</t>
  </si>
  <si>
    <t>FALTA FORMATO CAMBIO DE PUESTO Y EV. ANUAL</t>
  </si>
  <si>
    <t>FALTA DESCR. PUESTO E INDUCCION Y EV. ANUAL</t>
  </si>
  <si>
    <t>FALTA EV. ANUAL
CAMBIO DE NOMBRE DE PUESTO(?)</t>
  </si>
  <si>
    <t>FALTA MATRIZ Y EV. 90 DIAS</t>
  </si>
  <si>
    <t>Fecha real de Entrega 2025</t>
  </si>
  <si>
    <t>Fecha real de Entrega 2026</t>
  </si>
  <si>
    <t>Fecha real de Entrega 2027</t>
  </si>
  <si>
    <t>CAMBIO DE PUESTO/FABRICACION</t>
  </si>
  <si>
    <t>Santoyo Meza, Maria De Jesus</t>
  </si>
  <si>
    <t>Aguirre Faviel, Karla Karina</t>
  </si>
  <si>
    <t>Ochoa Valenzuela, Aracely</t>
  </si>
  <si>
    <t>Vale Cid, Paola Marlen</t>
  </si>
  <si>
    <t>Pinedo Godoy, Linda Marcela</t>
  </si>
  <si>
    <t>Fierro Montijo, Jeniffer Anahi</t>
  </si>
  <si>
    <t>Esqueda Betancourt, Cinthia Alejandra</t>
  </si>
  <si>
    <t>Angulo Lopez, Jorge Luis</t>
  </si>
  <si>
    <t>Supervisor De Fabricación</t>
  </si>
  <si>
    <t>No tiene matriz de capacitación</t>
  </si>
  <si>
    <t xml:space="preserve">Aseguramiento D Calidad </t>
  </si>
  <si>
    <t>CIERRE DE MATRIZ</t>
  </si>
  <si>
    <t>ENTREGA CALF. ANUAL
2025</t>
  </si>
  <si>
    <t>ENTREGA CALF. ANUAL
2026</t>
  </si>
  <si>
    <t>Sistema De Calidad</t>
  </si>
  <si>
    <t>FALTA MATRIZ POR CAMBIO DE PUESTO EV. 90 DIAS (Q. DE DOCUMENTACION)</t>
  </si>
  <si>
    <t>Calificación Entregada</t>
  </si>
  <si>
    <t>En tiempo</t>
  </si>
  <si>
    <t>FALTA MATRIZ POR CAMBIO DE PUESTO EV. 90 DIAS (Q. DE DOCUMENTACION 19NOV26)</t>
  </si>
  <si>
    <t>Control De Calidad</t>
  </si>
  <si>
    <t>FECHA DE ENTREGA CALIF.
 90 DÍAS</t>
  </si>
  <si>
    <t>Fecha real de Entrega CALF. 
90 días</t>
  </si>
  <si>
    <t>N.A.</t>
  </si>
  <si>
    <t>FALTA MATRIZ</t>
  </si>
  <si>
    <t>FALTA CALF. 90 DIAS</t>
  </si>
  <si>
    <t>FALTA MATRIZ Y CALF. 90 DIAS</t>
  </si>
  <si>
    <t xml:space="preserve">FALTA MATRIZ Y CALF. 90 DIAS Cambio depuesto de Q. Docu a Q.Fisicoqui </t>
  </si>
  <si>
    <t>FALTA CALF. ANUAL 2026</t>
  </si>
  <si>
    <t>No hubo entrega de Cal. Anual 2025 (JEFATURA)</t>
  </si>
  <si>
    <t>SE CALIFICA HASTA EL 2027</t>
  </si>
  <si>
    <t xml:space="preserve">POR VENCER </t>
  </si>
  <si>
    <t>Fabricacion</t>
  </si>
  <si>
    <t>FALTA CALF. 90 DIAS Y CALF. ANUAL 2025</t>
  </si>
  <si>
    <t>FALTA CALF. 90DIAS Y CALF. ANUAL 2026</t>
  </si>
  <si>
    <t>FALTA CALF. ANUAL 2025</t>
  </si>
  <si>
    <t xml:space="preserve">FALTA CALF. ANUAL 2025 </t>
  </si>
  <si>
    <t>FALTA DESCR. PUESTO, INDUCCION</t>
  </si>
  <si>
    <t>RH</t>
  </si>
  <si>
    <t>CAMBIO DE PUESTO A OPERADOR , MATRIZ, EV. 90 DIAS</t>
  </si>
  <si>
    <t>CAMBIO DE PUESTO AYUDANTE A OPERADOR FALTA MATRIZ, CAL. 9O DIAS</t>
  </si>
  <si>
    <t>PROXIMO A VENCER CALF. ANUAL 2026</t>
  </si>
  <si>
    <t>CAMBIO PUESTO AYUDANTE GEN - OPEADOR C. FALTA MATRIZ Y EV. 90 DIAS</t>
  </si>
  <si>
    <t>ENTREGA CALF. ANUAL
2027</t>
  </si>
  <si>
    <t>Administracion</t>
  </si>
  <si>
    <t>Contraloria</t>
  </si>
  <si>
    <t>Desarrollo</t>
  </si>
  <si>
    <t>Ing. De Empaque</t>
  </si>
  <si>
    <r>
      <t xml:space="preserve">FALTA MATRIZ Y EV. 90 DIAS </t>
    </r>
    <r>
      <rPr>
        <b/>
        <sz val="10"/>
        <color rgb="FFFF0000"/>
        <rFont val="Arial"/>
        <family val="2"/>
      </rPr>
      <t>BAJA</t>
    </r>
  </si>
  <si>
    <r>
      <t xml:space="preserve">FALTA EV. 90 DIAS Y EV. ANUAL </t>
    </r>
    <r>
      <rPr>
        <b/>
        <sz val="10"/>
        <color rgb="FFFF0000"/>
        <rFont val="Arial"/>
        <family val="2"/>
      </rPr>
      <t>BAJA</t>
    </r>
  </si>
  <si>
    <t>Validacion</t>
  </si>
  <si>
    <t>Logistica</t>
  </si>
  <si>
    <t>SIN CAPACITACIONES Y CALIFICACION</t>
  </si>
  <si>
    <t>NO APLICA A JEFATURA</t>
  </si>
  <si>
    <t>DESCRIPTIVO DE PUESTO, PROGR. INDUCCION</t>
  </si>
  <si>
    <t>CAMBIO DE PUEST FALTA EV. 90 DIAS Y EV. ANUAL</t>
  </si>
  <si>
    <t>FALT. CALF. 2025 / ACTUALIZACIÓN DE PERF. DE PUESTO FALTA MATRIZ Y CALF 90 DIAS</t>
  </si>
  <si>
    <t>ACTUALIZACIÓN DE PERF. DE PUESTO FALTA MATRIZ Y CALF 90 DIAS</t>
  </si>
  <si>
    <t>conocimiento de perfil de puesto</t>
  </si>
  <si>
    <t>CAMBIO PUESTO, FALTA MATRIZ Y CALF 90 DIAS</t>
  </si>
  <si>
    <t>Mantenimiento</t>
  </si>
  <si>
    <t>FALTA FORMATO CAMBIO DE PUESTO</t>
  </si>
  <si>
    <t>ENTREGA DE MATRIZ Y EV. 90 DIAS 26JUL2026</t>
  </si>
  <si>
    <t>Recursos Humanos</t>
  </si>
  <si>
    <t>Seguridad E Higiene</t>
  </si>
  <si>
    <t>CAMBIO NOMBRE DE PUESTO - DE TECNICO A SUPERVISOR DE SeH FALTA MATRIZ Y EV. 90 DIAS</t>
  </si>
  <si>
    <t>CAMBIO DE ÁREA A FABRICACION COMO AYUDANTE GRAL. FALTA EV. ANUAL</t>
  </si>
  <si>
    <t>Ventas</t>
  </si>
  <si>
    <t>NO LE APLICA MATRIZ DE CAPACITACION.</t>
  </si>
  <si>
    <r>
      <t xml:space="preserve">No hubo entrega Cal. Anual del 2025 </t>
    </r>
    <r>
      <rPr>
        <b/>
        <sz val="10"/>
        <rFont val="Arial"/>
        <family val="2"/>
      </rPr>
      <t>NO APLICA A JEFATURAS</t>
    </r>
  </si>
  <si>
    <t>CAMBO DE PUESTO EN COMPRAS, NO EXITE UN PUESTO.</t>
  </si>
  <si>
    <t>FALTA DESCR. PUESTO, EV. ANUAL</t>
  </si>
  <si>
    <t xml:space="preserve">PROG. INDUCCION 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</si>
</sst>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3"/>
      <name val="Arial"/>
      <family val="2"/>
    </font>
    <font>
      <b/>
      <sz val="13"/>
      <color theme="1"/>
      <name val="Arial"/>
      <family val="2"/>
    </font>
    <font>
      <sz val="10"/>
      <color rgb="FFC0000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9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2060"/>
      </bottom>
      <diagonal/>
    </border>
    <border>
      <left style="thick">
        <color rgb="FF00206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 style="thin">
        <color indexed="64"/>
      </left>
      <right style="thin">
        <color indexed="64"/>
      </right>
      <top style="thick">
        <color rgb="FF002060"/>
      </top>
      <bottom/>
      <diagonal/>
    </border>
    <border>
      <left style="thin">
        <color indexed="64"/>
      </left>
      <right/>
      <top style="thick">
        <color rgb="FF002060"/>
      </top>
      <bottom/>
      <diagonal/>
    </border>
    <border>
      <left style="thick">
        <color rgb="FF002060"/>
      </left>
      <right style="thin">
        <color indexed="64"/>
      </right>
      <top style="thick">
        <color rgb="FF002060"/>
      </top>
      <bottom/>
      <diagonal/>
    </border>
    <border>
      <left style="thin">
        <color indexed="64"/>
      </left>
      <right style="thick">
        <color rgb="FF002060"/>
      </right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vertical="center" wrapText="1" shrinkToFit="1"/>
    </xf>
    <xf numFmtId="14" fontId="1" fillId="0" borderId="1" xfId="0" applyNumberFormat="1" applyFont="1" applyBorder="1" applyAlignment="1">
      <alignment vertical="center" wrapText="1" shrinkToFit="1"/>
    </xf>
    <xf numFmtId="49" fontId="1" fillId="0" borderId="1" xfId="0" applyNumberFormat="1" applyFont="1" applyBorder="1" applyAlignment="1">
      <alignment horizontal="left" vertical="center" wrapText="1" shrinkToFit="1"/>
    </xf>
    <xf numFmtId="0" fontId="0" fillId="0" borderId="0" xfId="0" applyAlignment="1">
      <alignment horizontal="center"/>
    </xf>
    <xf numFmtId="164" fontId="3" fillId="0" borderId="1" xfId="0" applyNumberFormat="1" applyFont="1" applyFill="1" applyBorder="1"/>
    <xf numFmtId="0" fontId="3" fillId="0" borderId="1" xfId="0" applyFont="1" applyFill="1" applyBorder="1"/>
    <xf numFmtId="14" fontId="1" fillId="0" borderId="1" xfId="0" applyNumberFormat="1" applyFont="1" applyBorder="1" applyAlignment="1">
      <alignment horizontal="center" vertical="center" wrapText="1" shrinkToFit="1"/>
    </xf>
    <xf numFmtId="0" fontId="4" fillId="6" borderId="0" xfId="0" applyFont="1" applyFill="1" applyBorder="1" applyAlignment="1">
      <alignment horizontal="center" vertical="center"/>
    </xf>
    <xf numFmtId="15" fontId="4" fillId="5" borderId="7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15" fontId="4" fillId="5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11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 applyProtection="1">
      <alignment horizontal="center" vertical="center"/>
      <protection locked="0"/>
    </xf>
    <xf numFmtId="15" fontId="3" fillId="0" borderId="1" xfId="0" applyNumberFormat="1" applyFont="1" applyFill="1" applyBorder="1"/>
    <xf numFmtId="0" fontId="1" fillId="0" borderId="1" xfId="0" applyFont="1" applyBorder="1" applyAlignment="1">
      <alignment horizontal="center" vertical="center" wrapText="1" shrinkToFit="1"/>
    </xf>
    <xf numFmtId="14" fontId="3" fillId="0" borderId="1" xfId="0" applyNumberFormat="1" applyFont="1" applyFill="1" applyBorder="1"/>
    <xf numFmtId="14" fontId="3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vertical="center" shrinkToFit="1"/>
    </xf>
    <xf numFmtId="0" fontId="4" fillId="0" borderId="1" xfId="0" applyFont="1" applyFill="1" applyBorder="1"/>
    <xf numFmtId="0" fontId="3" fillId="8" borderId="1" xfId="0" applyFont="1" applyFill="1" applyBorder="1"/>
    <xf numFmtId="0" fontId="3" fillId="8" borderId="0" xfId="0" applyFont="1" applyFill="1"/>
    <xf numFmtId="0" fontId="1" fillId="8" borderId="1" xfId="0" applyFont="1" applyFill="1" applyBorder="1" applyAlignment="1">
      <alignment horizontal="center" vertical="center" wrapText="1" shrinkToFit="1"/>
    </xf>
    <xf numFmtId="49" fontId="1" fillId="8" borderId="1" xfId="0" applyNumberFormat="1" applyFont="1" applyFill="1" applyBorder="1" applyAlignment="1">
      <alignment vertical="center" wrapText="1" shrinkToFit="1"/>
    </xf>
    <xf numFmtId="14" fontId="1" fillId="8" borderId="1" xfId="0" applyNumberFormat="1" applyFont="1" applyFill="1" applyBorder="1" applyAlignment="1">
      <alignment vertical="center" wrapText="1" shrinkToFit="1"/>
    </xf>
    <xf numFmtId="14" fontId="1" fillId="8" borderId="1" xfId="0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/>
    <xf numFmtId="0" fontId="3" fillId="3" borderId="0" xfId="0" applyFont="1" applyFill="1"/>
    <xf numFmtId="14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/>
    <xf numFmtId="49" fontId="1" fillId="0" borderId="1" xfId="0" applyNumberFormat="1" applyFont="1" applyBorder="1" applyAlignment="1">
      <alignment horizontal="center" vertical="center" wrapText="1" shrinkToFit="1"/>
    </xf>
    <xf numFmtId="0" fontId="3" fillId="0" borderId="1" xfId="0" applyFont="1" applyBorder="1"/>
    <xf numFmtId="164" fontId="3" fillId="0" borderId="1" xfId="0" applyNumberFormat="1" applyFont="1" applyBorder="1"/>
    <xf numFmtId="15" fontId="3" fillId="0" borderId="15" xfId="0" applyNumberFormat="1" applyFont="1" applyBorder="1" applyAlignment="1">
      <alignment horizontal="center"/>
    </xf>
    <xf numFmtId="0" fontId="3" fillId="3" borderId="15" xfId="0" applyFont="1" applyFill="1" applyBorder="1"/>
    <xf numFmtId="49" fontId="1" fillId="0" borderId="1" xfId="0" applyNumberFormat="1" applyFont="1" applyFill="1" applyBorder="1" applyAlignment="1">
      <alignment vertical="center" wrapText="1" shrinkToFit="1"/>
    </xf>
    <xf numFmtId="49" fontId="1" fillId="0" borderId="1" xfId="0" applyNumberFormat="1" applyFont="1" applyFill="1" applyBorder="1" applyAlignment="1">
      <alignment horizontal="left" vertical="center" wrapText="1" shrinkToFit="1"/>
    </xf>
    <xf numFmtId="49" fontId="6" fillId="0" borderId="1" xfId="0" applyNumberFormat="1" applyFont="1" applyFill="1" applyBorder="1" applyAlignment="1">
      <alignment horizontal="center" vertical="center" wrapText="1" shrinkToFit="1"/>
    </xf>
    <xf numFmtId="16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vertical="center" wrapText="1" shrinkToFi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center" vertical="center" wrapText="1" shrinkToFit="1"/>
    </xf>
    <xf numFmtId="0" fontId="3" fillId="0" borderId="0" xfId="0" applyFont="1" applyFill="1"/>
    <xf numFmtId="0" fontId="4" fillId="5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" xfId="0" applyFont="1" applyFill="1" applyBorder="1"/>
    <xf numFmtId="164" fontId="3" fillId="0" borderId="1" xfId="0" applyNumberFormat="1" applyFont="1" applyFill="1" applyBorder="1" applyAlignment="1">
      <alignment horizontal="center"/>
    </xf>
    <xf numFmtId="15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15" xfId="0" applyNumberFormat="1" applyFont="1" applyFill="1" applyBorder="1" applyAlignment="1">
      <alignment horizontal="center" vertical="center" wrapText="1" shrinkToFit="1"/>
    </xf>
    <xf numFmtId="14" fontId="3" fillId="0" borderId="15" xfId="0" applyNumberFormat="1" applyFont="1" applyFill="1" applyBorder="1" applyAlignment="1">
      <alignment horizontal="center"/>
    </xf>
    <xf numFmtId="164" fontId="3" fillId="0" borderId="15" xfId="0" applyNumberFormat="1" applyFont="1" applyFill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 vertical="center" wrapText="1"/>
    </xf>
    <xf numFmtId="0" fontId="10" fillId="0" borderId="1" xfId="0" applyFont="1" applyFill="1" applyBorder="1"/>
    <xf numFmtId="49" fontId="1" fillId="8" borderId="1" xfId="0" applyNumberFormat="1" applyFont="1" applyFill="1" applyBorder="1" applyAlignment="1">
      <alignment horizontal="center" vertical="center" wrapText="1" shrinkToFit="1"/>
    </xf>
    <xf numFmtId="164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5" fontId="3" fillId="8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15" fontId="3" fillId="7" borderId="1" xfId="0" applyNumberFormat="1" applyFont="1" applyFill="1" applyBorder="1" applyAlignment="1">
      <alignment horizontal="center"/>
    </xf>
    <xf numFmtId="15" fontId="3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 wrapText="1" shrinkToFit="1"/>
    </xf>
    <xf numFmtId="49" fontId="1" fillId="7" borderId="1" xfId="0" applyNumberFormat="1" applyFont="1" applyFill="1" applyBorder="1" applyAlignment="1">
      <alignment horizontal="center" wrapText="1" shrinkToFit="1"/>
    </xf>
    <xf numFmtId="15" fontId="5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 vertical="center" wrapText="1" shrinkToFit="1"/>
    </xf>
    <xf numFmtId="0" fontId="4" fillId="8" borderId="1" xfId="0" applyFont="1" applyFill="1" applyBorder="1"/>
    <xf numFmtId="0" fontId="0" fillId="0" borderId="0" xfId="0" applyAlignment="1"/>
    <xf numFmtId="164" fontId="4" fillId="0" borderId="1" xfId="0" applyNumberFormat="1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vertical="center" wrapText="1" shrinkToFi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9" borderId="14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11" fillId="0" borderId="1" xfId="0" applyFont="1" applyFill="1" applyBorder="1"/>
    <xf numFmtId="14" fontId="3" fillId="8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 wrapText="1" shrinkToFit="1"/>
    </xf>
    <xf numFmtId="0" fontId="4" fillId="0" borderId="5" xfId="0" applyFont="1" applyBorder="1" applyAlignment="1">
      <alignment horizontal="center" vertical="center"/>
    </xf>
    <xf numFmtId="0" fontId="4" fillId="5" borderId="6" xfId="0" applyFont="1" applyFill="1" applyBorder="1" applyAlignment="1">
      <alignment vertical="center"/>
    </xf>
    <xf numFmtId="0" fontId="0" fillId="0" borderId="1" xfId="0" applyBorder="1" applyAlignment="1"/>
    <xf numFmtId="0" fontId="1" fillId="0" borderId="1" xfId="0" applyFont="1" applyFill="1" applyBorder="1"/>
    <xf numFmtId="0" fontId="2" fillId="0" borderId="15" xfId="0" applyFont="1" applyBorder="1"/>
    <xf numFmtId="49" fontId="2" fillId="0" borderId="1" xfId="0" applyNumberFormat="1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32"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B578E2"/>
      <color rgb="FFCEA6EC"/>
      <color rgb="FFD3B5E9"/>
      <color rgb="FF9A5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221116</xdr:colOff>
      <xdr:row>0</xdr:row>
      <xdr:rowOff>9526</xdr:rowOff>
    </xdr:from>
    <xdr:to>
      <xdr:col>20</xdr:col>
      <xdr:colOff>3272</xdr:colOff>
      <xdr:row>3</xdr:row>
      <xdr:rowOff>40822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2A788C03-7E9F-D5B3-4C00-A146BA3D66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17" t="25000" b="22959"/>
        <a:stretch>
          <a:fillRect/>
        </a:stretch>
      </xdr:blipFill>
      <xdr:spPr bwMode="auto">
        <a:xfrm>
          <a:off x="9286875" y="9526"/>
          <a:ext cx="1449031" cy="59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B3EA-F85F-4C8F-88C2-154FF1AA3235}">
  <dimension ref="A1:AA133"/>
  <sheetViews>
    <sheetView tabSelected="1" topLeftCell="A4" zoomScale="115" zoomScaleNormal="115" zoomScaleSheetLayoutView="112" zoomScalePageLayoutView="85" workbookViewId="0">
      <pane ySplit="1" topLeftCell="A75" activePane="bottomLeft" state="frozen"/>
      <selection activeCell="A4" sqref="A4"/>
      <selection pane="bottomLeft" activeCell="C82" sqref="C82"/>
    </sheetView>
  </sheetViews>
  <sheetFormatPr baseColWidth="10" defaultColWidth="11.44140625" defaultRowHeight="14.4" x14ac:dyDescent="0.3"/>
  <cols>
    <col min="1" max="1" width="10.109375" style="13" customWidth="1"/>
    <col min="2" max="2" width="33" customWidth="1"/>
    <col min="4" max="4" width="12" style="57" customWidth="1"/>
    <col min="5" max="5" width="31.33203125" style="87" hidden="1" customWidth="1"/>
    <col min="6" max="6" width="19.88671875" style="57" customWidth="1"/>
    <col min="7" max="7" width="11.6640625" style="57" customWidth="1"/>
    <col min="8" max="8" width="11.33203125" style="57" customWidth="1"/>
    <col min="9" max="9" width="2.44140625" style="57" customWidth="1"/>
    <col min="10" max="10" width="10.33203125" style="57" customWidth="1"/>
    <col min="11" max="11" width="10.6640625" style="57" customWidth="1"/>
    <col min="12" max="12" width="2.44140625" style="57" customWidth="1"/>
    <col min="13" max="13" width="10.33203125" style="57" customWidth="1"/>
    <col min="14" max="14" width="9.88671875" style="57" customWidth="1"/>
    <col min="15" max="15" width="2.5546875" style="57" customWidth="1"/>
    <col min="16" max="17" width="11.44140625" style="57" customWidth="1"/>
    <col min="18" max="18" width="3.88671875" style="57" customWidth="1"/>
    <col min="19" max="19" width="11.44140625" style="57" customWidth="1"/>
    <col min="20" max="20" width="90.44140625" bestFit="1" customWidth="1"/>
    <col min="21" max="21" width="33.44140625" bestFit="1" customWidth="1"/>
  </cols>
  <sheetData>
    <row r="1" spans="1:21" x14ac:dyDescent="0.3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</row>
    <row r="2" spans="1:21" x14ac:dyDescent="0.3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</row>
    <row r="3" spans="1:21" x14ac:dyDescent="0.3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</row>
    <row r="4" spans="1:21" s="4" customFormat="1" ht="13.2" x14ac:dyDescent="0.25">
      <c r="A4" s="1"/>
      <c r="B4" s="2" t="s">
        <v>277</v>
      </c>
      <c r="C4" s="3" t="s">
        <v>158</v>
      </c>
      <c r="D4" s="112" t="s">
        <v>9</v>
      </c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</row>
    <row r="5" spans="1:21" s="4" customFormat="1" ht="13.2" x14ac:dyDescent="0.25">
      <c r="A5" s="5"/>
      <c r="B5" s="2" t="s">
        <v>0</v>
      </c>
      <c r="C5" s="3" t="s">
        <v>159</v>
      </c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</row>
    <row r="6" spans="1:21" s="4" customFormat="1" ht="13.8" thickBot="1" x14ac:dyDescent="0.3">
      <c r="A6" s="6"/>
      <c r="B6" s="7" t="s">
        <v>1</v>
      </c>
      <c r="C6" s="8" t="s">
        <v>157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</row>
    <row r="7" spans="1:21" s="9" customFormat="1" ht="63" customHeight="1" thickTop="1" thickBot="1" x14ac:dyDescent="0.35">
      <c r="A7" s="19" t="s">
        <v>2</v>
      </c>
      <c r="B7" s="20" t="s">
        <v>3</v>
      </c>
      <c r="C7" s="18" t="s">
        <v>4</v>
      </c>
      <c r="D7" s="21" t="s">
        <v>5</v>
      </c>
      <c r="E7" s="107" t="s">
        <v>6</v>
      </c>
      <c r="F7" s="22" t="s">
        <v>7</v>
      </c>
      <c r="G7" s="56" t="s">
        <v>272</v>
      </c>
      <c r="H7" s="23" t="s">
        <v>281</v>
      </c>
      <c r="I7" s="17"/>
      <c r="J7" s="71" t="s">
        <v>282</v>
      </c>
      <c r="K7" s="23" t="s">
        <v>273</v>
      </c>
      <c r="L7" s="17"/>
      <c r="M7" s="71" t="s">
        <v>257</v>
      </c>
      <c r="N7" s="23" t="s">
        <v>274</v>
      </c>
      <c r="O7" s="17"/>
      <c r="P7" s="101" t="s">
        <v>258</v>
      </c>
      <c r="Q7" s="23" t="s">
        <v>303</v>
      </c>
      <c r="R7" s="17"/>
      <c r="S7" s="102" t="s">
        <v>259</v>
      </c>
      <c r="T7" s="24" t="s">
        <v>8</v>
      </c>
      <c r="U7" s="106" t="s">
        <v>298</v>
      </c>
    </row>
    <row r="8" spans="1:21" s="4" customFormat="1" ht="15" customHeight="1" thickTop="1" x14ac:dyDescent="0.25">
      <c r="A8" s="26">
        <v>100012</v>
      </c>
      <c r="B8" s="10" t="s">
        <v>11</v>
      </c>
      <c r="C8" s="11">
        <v>35527</v>
      </c>
      <c r="D8" s="16">
        <v>45363</v>
      </c>
      <c r="E8" s="10" t="s">
        <v>186</v>
      </c>
      <c r="F8" s="41" t="s">
        <v>304</v>
      </c>
      <c r="G8" s="12"/>
      <c r="H8" s="14">
        <f>D8+90</f>
        <v>45453</v>
      </c>
      <c r="I8" s="15"/>
      <c r="J8" s="25">
        <v>45401</v>
      </c>
      <c r="K8" s="14">
        <f>J8+365</f>
        <v>45766</v>
      </c>
      <c r="L8" s="15"/>
      <c r="M8" s="15"/>
      <c r="N8" s="14">
        <f>K8+365</f>
        <v>46131</v>
      </c>
      <c r="O8" s="15" t="s">
        <v>157</v>
      </c>
      <c r="P8" s="15"/>
      <c r="Q8" s="15"/>
      <c r="R8" s="15"/>
      <c r="S8" s="15"/>
      <c r="T8" s="72" t="s">
        <v>328</v>
      </c>
    </row>
    <row r="9" spans="1:21" s="4" customFormat="1" ht="15" customHeight="1" x14ac:dyDescent="0.25">
      <c r="A9" s="26">
        <v>100040</v>
      </c>
      <c r="B9" s="10" t="s">
        <v>13</v>
      </c>
      <c r="C9" s="11">
        <v>37109</v>
      </c>
      <c r="D9" s="28">
        <v>45358</v>
      </c>
      <c r="E9" s="10" t="s">
        <v>109</v>
      </c>
      <c r="F9" s="111" t="s">
        <v>311</v>
      </c>
      <c r="G9" s="41" t="s">
        <v>189</v>
      </c>
      <c r="H9" s="59">
        <f>D10+90</f>
        <v>45361</v>
      </c>
      <c r="I9" s="61"/>
      <c r="J9" s="96"/>
      <c r="K9" s="59">
        <f>H9+365</f>
        <v>45726</v>
      </c>
      <c r="L9" s="61"/>
      <c r="M9" s="90">
        <v>45807</v>
      </c>
      <c r="N9" s="59">
        <f>M9+365</f>
        <v>46172</v>
      </c>
      <c r="O9" s="61" t="s">
        <v>190</v>
      </c>
      <c r="P9" s="49" t="s">
        <v>244</v>
      </c>
      <c r="Q9" s="49" t="s">
        <v>244</v>
      </c>
      <c r="R9" s="61"/>
      <c r="S9" s="61"/>
      <c r="T9" s="58" t="s">
        <v>313</v>
      </c>
    </row>
    <row r="10" spans="1:21" s="4" customFormat="1" ht="15" customHeight="1" x14ac:dyDescent="0.25">
      <c r="A10" s="26">
        <v>100054</v>
      </c>
      <c r="B10" s="10" t="s">
        <v>14</v>
      </c>
      <c r="C10" s="11">
        <v>37223</v>
      </c>
      <c r="D10" s="16">
        <v>45271</v>
      </c>
      <c r="E10" s="10" t="s">
        <v>110</v>
      </c>
      <c r="F10" s="111" t="s">
        <v>292</v>
      </c>
      <c r="G10" s="41" t="s">
        <v>191</v>
      </c>
      <c r="H10" s="59">
        <f>D10+90</f>
        <v>45361</v>
      </c>
      <c r="I10" s="61"/>
      <c r="J10" s="60"/>
      <c r="K10" s="59">
        <f>H10+365</f>
        <v>45726</v>
      </c>
      <c r="L10" s="61"/>
      <c r="M10" s="90">
        <v>45835</v>
      </c>
      <c r="N10" s="59">
        <f>M10+365</f>
        <v>46200</v>
      </c>
      <c r="O10" s="61" t="s">
        <v>159</v>
      </c>
      <c r="P10" s="61"/>
      <c r="Q10" s="15"/>
      <c r="R10" s="15"/>
      <c r="S10" s="15"/>
      <c r="T10" s="15"/>
    </row>
    <row r="11" spans="1:21" s="4" customFormat="1" ht="15" customHeight="1" x14ac:dyDescent="0.25">
      <c r="A11" s="26">
        <v>100070</v>
      </c>
      <c r="B11" s="10" t="s">
        <v>15</v>
      </c>
      <c r="C11" s="11">
        <v>37543</v>
      </c>
      <c r="D11" s="16"/>
      <c r="E11" s="29" t="s">
        <v>187</v>
      </c>
      <c r="F11" s="41" t="s">
        <v>305</v>
      </c>
      <c r="G11" s="12"/>
      <c r="H11" s="14">
        <f t="shared" ref="H11:H61" si="0">D11+90</f>
        <v>90</v>
      </c>
      <c r="I11" s="15"/>
      <c r="J11" s="15"/>
      <c r="K11" s="14">
        <f>H11+365</f>
        <v>455</v>
      </c>
      <c r="L11" s="15"/>
      <c r="M11" s="15"/>
      <c r="N11" s="14">
        <f t="shared" ref="N11:N21" si="1">K11+360</f>
        <v>815</v>
      </c>
      <c r="O11" s="15"/>
      <c r="P11" s="15"/>
      <c r="Q11" s="15"/>
      <c r="R11" s="15"/>
      <c r="S11" s="15"/>
      <c r="T11" s="72" t="s">
        <v>270</v>
      </c>
    </row>
    <row r="12" spans="1:21" s="4" customFormat="1" ht="15" customHeight="1" x14ac:dyDescent="0.25">
      <c r="A12" s="26">
        <v>100072</v>
      </c>
      <c r="B12" s="10" t="s">
        <v>16</v>
      </c>
      <c r="C12" s="11">
        <v>37582</v>
      </c>
      <c r="D12" s="16">
        <v>45259</v>
      </c>
      <c r="E12" s="29" t="s">
        <v>111</v>
      </c>
      <c r="F12" s="111" t="s">
        <v>320</v>
      </c>
      <c r="G12" s="41" t="s">
        <v>193</v>
      </c>
      <c r="H12" s="59">
        <f t="shared" si="0"/>
        <v>45349</v>
      </c>
      <c r="I12" s="61"/>
      <c r="J12" s="60">
        <v>45316</v>
      </c>
      <c r="K12" s="59">
        <f>J12+365</f>
        <v>45681</v>
      </c>
      <c r="L12" s="61" t="s">
        <v>194</v>
      </c>
      <c r="M12" s="60">
        <v>45680</v>
      </c>
      <c r="N12" s="59">
        <f>M12+365</f>
        <v>46045</v>
      </c>
      <c r="O12" s="61" t="s">
        <v>194</v>
      </c>
      <c r="P12" s="60">
        <v>46045</v>
      </c>
      <c r="Q12" s="60"/>
      <c r="R12" s="61"/>
      <c r="S12" s="60"/>
      <c r="T12" s="15"/>
    </row>
    <row r="13" spans="1:21" s="4" customFormat="1" ht="15" customHeight="1" x14ac:dyDescent="0.25">
      <c r="A13" s="26">
        <v>202776</v>
      </c>
      <c r="B13" s="10" t="s">
        <v>73</v>
      </c>
      <c r="C13" s="11">
        <v>37645</v>
      </c>
      <c r="D13" s="11">
        <v>37645</v>
      </c>
      <c r="E13" s="10" t="s">
        <v>141</v>
      </c>
      <c r="F13" s="41" t="s">
        <v>327</v>
      </c>
      <c r="G13" s="48" t="s">
        <v>244</v>
      </c>
      <c r="H13" s="49" t="s">
        <v>244</v>
      </c>
      <c r="I13" s="15"/>
      <c r="J13" s="50" t="s">
        <v>244</v>
      </c>
      <c r="K13" s="49" t="s">
        <v>244</v>
      </c>
      <c r="L13" s="15"/>
      <c r="M13" s="50" t="s">
        <v>244</v>
      </c>
      <c r="N13" s="49" t="s">
        <v>244</v>
      </c>
      <c r="O13" s="15"/>
      <c r="P13" s="15"/>
      <c r="Q13" s="15"/>
      <c r="R13" s="15"/>
      <c r="S13" s="15"/>
      <c r="T13" s="58" t="s">
        <v>270</v>
      </c>
    </row>
    <row r="14" spans="1:21" s="4" customFormat="1" ht="15" customHeight="1" x14ac:dyDescent="0.25">
      <c r="A14" s="26">
        <v>100080</v>
      </c>
      <c r="B14" s="10" t="s">
        <v>17</v>
      </c>
      <c r="C14" s="11">
        <v>37817</v>
      </c>
      <c r="D14" s="16">
        <v>45271</v>
      </c>
      <c r="E14" s="10" t="s">
        <v>110</v>
      </c>
      <c r="F14" s="111" t="s">
        <v>292</v>
      </c>
      <c r="G14" s="41" t="s">
        <v>195</v>
      </c>
      <c r="H14" s="59">
        <f>D14+90</f>
        <v>45361</v>
      </c>
      <c r="I14" s="61" t="s">
        <v>194</v>
      </c>
      <c r="J14" s="60">
        <v>45429</v>
      </c>
      <c r="K14" s="59">
        <f>J14+365</f>
        <v>45794</v>
      </c>
      <c r="L14" s="61"/>
      <c r="M14" s="61"/>
      <c r="N14" s="59">
        <f>K14+365</f>
        <v>46159</v>
      </c>
      <c r="O14" s="61" t="s">
        <v>157</v>
      </c>
      <c r="P14" s="61"/>
      <c r="Q14" s="15"/>
      <c r="R14" s="15"/>
      <c r="S14" s="15"/>
      <c r="T14" s="15" t="s">
        <v>199</v>
      </c>
    </row>
    <row r="15" spans="1:21" s="4" customFormat="1" ht="15" customHeight="1" x14ac:dyDescent="0.25">
      <c r="A15" s="26">
        <v>100267</v>
      </c>
      <c r="B15" s="10" t="s">
        <v>20</v>
      </c>
      <c r="C15" s="11">
        <v>39337</v>
      </c>
      <c r="D15" s="16"/>
      <c r="E15" s="29" t="s">
        <v>113</v>
      </c>
      <c r="F15" s="41" t="s">
        <v>305</v>
      </c>
      <c r="G15" s="12"/>
      <c r="H15" s="14">
        <f t="shared" si="0"/>
        <v>90</v>
      </c>
      <c r="I15" s="15"/>
      <c r="J15" s="15"/>
      <c r="K15" s="14">
        <f>H15+365</f>
        <v>455</v>
      </c>
      <c r="L15" s="15"/>
      <c r="M15" s="15"/>
      <c r="N15" s="14">
        <f t="shared" si="1"/>
        <v>815</v>
      </c>
      <c r="O15" s="15"/>
      <c r="P15" s="49" t="s">
        <v>244</v>
      </c>
      <c r="Q15" s="49" t="s">
        <v>244</v>
      </c>
      <c r="R15" s="15"/>
      <c r="S15" s="15"/>
      <c r="T15" s="58" t="s">
        <v>313</v>
      </c>
    </row>
    <row r="16" spans="1:21" s="4" customFormat="1" ht="15" customHeight="1" x14ac:dyDescent="0.25">
      <c r="A16" s="26">
        <v>100037</v>
      </c>
      <c r="B16" s="10" t="s">
        <v>12</v>
      </c>
      <c r="C16" s="11">
        <v>39919</v>
      </c>
      <c r="D16" s="16"/>
      <c r="E16" s="10" t="s">
        <v>108</v>
      </c>
      <c r="F16" s="111" t="s">
        <v>311</v>
      </c>
      <c r="G16" s="41"/>
      <c r="H16" s="59">
        <f t="shared" si="0"/>
        <v>90</v>
      </c>
      <c r="I16" s="61"/>
      <c r="J16" s="61"/>
      <c r="K16" s="59">
        <f>H16+365</f>
        <v>455</v>
      </c>
      <c r="L16" s="61"/>
      <c r="M16" s="61"/>
      <c r="N16" s="59">
        <f t="shared" si="1"/>
        <v>815</v>
      </c>
      <c r="O16" s="61"/>
      <c r="P16" s="61"/>
      <c r="Q16" s="61"/>
      <c r="R16" s="61"/>
      <c r="S16" s="61"/>
      <c r="T16" s="103" t="s">
        <v>312</v>
      </c>
    </row>
    <row r="17" spans="1:21" s="4" customFormat="1" ht="15" customHeight="1" x14ac:dyDescent="0.25">
      <c r="A17" s="26">
        <v>46</v>
      </c>
      <c r="B17" s="10" t="s">
        <v>10</v>
      </c>
      <c r="C17" s="11">
        <v>40770</v>
      </c>
      <c r="D17" s="16">
        <v>45228</v>
      </c>
      <c r="E17" s="10" t="s">
        <v>107</v>
      </c>
      <c r="F17" s="111" t="s">
        <v>320</v>
      </c>
      <c r="G17" s="41" t="s">
        <v>196</v>
      </c>
      <c r="H17" s="59">
        <f t="shared" si="0"/>
        <v>45318</v>
      </c>
      <c r="I17" s="61"/>
      <c r="J17" s="60">
        <v>45464</v>
      </c>
      <c r="K17" s="59">
        <f>J17+365</f>
        <v>45829</v>
      </c>
      <c r="L17" s="61" t="s">
        <v>194</v>
      </c>
      <c r="M17" s="60">
        <v>45828</v>
      </c>
      <c r="N17" s="59">
        <f>M17+365</f>
        <v>46193</v>
      </c>
      <c r="O17" s="61" t="s">
        <v>157</v>
      </c>
      <c r="P17" s="61"/>
      <c r="Q17" s="61"/>
      <c r="R17" s="61"/>
      <c r="S17" s="61"/>
      <c r="T17" s="15"/>
    </row>
    <row r="18" spans="1:21" s="4" customFormat="1" ht="15" customHeight="1" x14ac:dyDescent="0.25">
      <c r="A18" s="26">
        <v>202777</v>
      </c>
      <c r="B18" s="10" t="s">
        <v>74</v>
      </c>
      <c r="C18" s="11">
        <v>40927</v>
      </c>
      <c r="D18" s="11">
        <v>40927</v>
      </c>
      <c r="E18" s="10" t="s">
        <v>141</v>
      </c>
      <c r="F18" s="41" t="s">
        <v>327</v>
      </c>
      <c r="G18" s="48" t="s">
        <v>244</v>
      </c>
      <c r="H18" s="49" t="s">
        <v>244</v>
      </c>
      <c r="I18" s="15"/>
      <c r="J18" s="50" t="s">
        <v>244</v>
      </c>
      <c r="K18" s="49" t="s">
        <v>244</v>
      </c>
      <c r="L18" s="15"/>
      <c r="M18" s="50" t="s">
        <v>244</v>
      </c>
      <c r="N18" s="49" t="s">
        <v>244</v>
      </c>
      <c r="O18" s="15"/>
      <c r="P18" s="15"/>
      <c r="Q18" s="15"/>
      <c r="R18" s="15"/>
      <c r="S18" s="15"/>
      <c r="T18" s="58" t="s">
        <v>270</v>
      </c>
    </row>
    <row r="19" spans="1:21" s="4" customFormat="1" ht="15" customHeight="1" x14ac:dyDescent="0.25">
      <c r="A19" s="26">
        <v>100389</v>
      </c>
      <c r="B19" s="10" t="s">
        <v>22</v>
      </c>
      <c r="C19" s="11">
        <v>41428</v>
      </c>
      <c r="D19" s="16">
        <v>45345</v>
      </c>
      <c r="E19" s="10" t="s">
        <v>115</v>
      </c>
      <c r="F19" s="111" t="s">
        <v>311</v>
      </c>
      <c r="G19" s="41" t="s">
        <v>197</v>
      </c>
      <c r="H19" s="59">
        <f t="shared" si="0"/>
        <v>45435</v>
      </c>
      <c r="I19" s="61"/>
      <c r="J19" s="61"/>
      <c r="K19" s="59">
        <f>H19+365</f>
        <v>45800</v>
      </c>
      <c r="L19" s="61" t="s">
        <v>194</v>
      </c>
      <c r="M19" s="60">
        <v>45826</v>
      </c>
      <c r="N19" s="59"/>
      <c r="O19" s="61"/>
      <c r="P19" s="49" t="s">
        <v>244</v>
      </c>
      <c r="Q19" s="49" t="s">
        <v>244</v>
      </c>
      <c r="R19" s="61"/>
      <c r="S19" s="61"/>
      <c r="T19" s="58" t="s">
        <v>313</v>
      </c>
    </row>
    <row r="20" spans="1:21" s="4" customFormat="1" ht="15" customHeight="1" x14ac:dyDescent="0.25">
      <c r="A20" s="26">
        <v>100259</v>
      </c>
      <c r="B20" s="10" t="s">
        <v>19</v>
      </c>
      <c r="C20" s="11">
        <v>41928</v>
      </c>
      <c r="D20" s="16"/>
      <c r="E20" s="10" t="s">
        <v>112</v>
      </c>
      <c r="F20" s="41" t="s">
        <v>307</v>
      </c>
      <c r="G20" s="12"/>
      <c r="H20" s="14">
        <v>45381</v>
      </c>
      <c r="I20" s="15"/>
      <c r="J20" s="15"/>
      <c r="K20" s="14">
        <f>H20+365</f>
        <v>45746</v>
      </c>
      <c r="L20" s="15" t="s">
        <v>194</v>
      </c>
      <c r="M20" s="25">
        <v>45744</v>
      </c>
      <c r="N20" s="14">
        <f>M20+365</f>
        <v>46109</v>
      </c>
      <c r="O20" s="15" t="s">
        <v>190</v>
      </c>
      <c r="P20" s="15"/>
      <c r="Q20" s="15"/>
      <c r="R20" s="15"/>
      <c r="S20" s="15"/>
      <c r="T20" s="15" t="s">
        <v>200</v>
      </c>
    </row>
    <row r="21" spans="1:21" s="4" customFormat="1" ht="15" customHeight="1" x14ac:dyDescent="0.25">
      <c r="A21" s="26">
        <v>100696</v>
      </c>
      <c r="B21" s="10" t="s">
        <v>27</v>
      </c>
      <c r="C21" s="11">
        <v>43132</v>
      </c>
      <c r="D21" s="16"/>
      <c r="E21" s="10" t="s">
        <v>119</v>
      </c>
      <c r="F21" s="41" t="s">
        <v>271</v>
      </c>
      <c r="G21" s="41"/>
      <c r="H21" s="59">
        <v>45381</v>
      </c>
      <c r="I21" s="15"/>
      <c r="J21" s="60">
        <v>45558</v>
      </c>
      <c r="K21" s="59">
        <f>J21+365</f>
        <v>45923</v>
      </c>
      <c r="L21" s="61"/>
      <c r="M21" s="61"/>
      <c r="N21" s="59">
        <f t="shared" si="1"/>
        <v>46283</v>
      </c>
      <c r="O21" s="61"/>
      <c r="P21" s="49" t="s">
        <v>244</v>
      </c>
      <c r="Q21" s="49" t="s">
        <v>244</v>
      </c>
      <c r="R21" s="15"/>
      <c r="S21" s="15"/>
      <c r="T21" s="109" t="s">
        <v>329</v>
      </c>
    </row>
    <row r="22" spans="1:21" s="4" customFormat="1" ht="15" customHeight="1" x14ac:dyDescent="0.25">
      <c r="A22" s="26">
        <v>100702</v>
      </c>
      <c r="B22" s="10" t="s">
        <v>29</v>
      </c>
      <c r="C22" s="16">
        <v>43174</v>
      </c>
      <c r="D22" s="16"/>
      <c r="E22" s="10" t="s">
        <v>121</v>
      </c>
      <c r="F22" s="111" t="s">
        <v>280</v>
      </c>
      <c r="G22" s="82"/>
      <c r="H22" s="59">
        <f>D22+90</f>
        <v>90</v>
      </c>
      <c r="I22" s="15"/>
      <c r="J22" s="80">
        <v>45474</v>
      </c>
      <c r="K22" s="59">
        <f>J22+365</f>
        <v>45839</v>
      </c>
      <c r="L22" s="61" t="s">
        <v>194</v>
      </c>
      <c r="M22" s="60">
        <v>45793</v>
      </c>
      <c r="N22" s="59">
        <f>M22+365</f>
        <v>46158</v>
      </c>
      <c r="O22" s="61" t="s">
        <v>157</v>
      </c>
      <c r="P22" s="49" t="s">
        <v>244</v>
      </c>
      <c r="Q22" s="49" t="s">
        <v>244</v>
      </c>
      <c r="R22" s="15"/>
      <c r="S22" s="15"/>
      <c r="T22" s="58" t="s">
        <v>313</v>
      </c>
    </row>
    <row r="23" spans="1:21" s="4" customFormat="1" ht="15" customHeight="1" x14ac:dyDescent="0.25">
      <c r="A23" s="26">
        <v>100713</v>
      </c>
      <c r="B23" s="10" t="s">
        <v>30</v>
      </c>
      <c r="C23" s="11">
        <v>43251</v>
      </c>
      <c r="D23" s="16">
        <v>45980</v>
      </c>
      <c r="E23" s="10" t="s">
        <v>122</v>
      </c>
      <c r="F23" s="41" t="s">
        <v>275</v>
      </c>
      <c r="G23" s="41" t="s">
        <v>203</v>
      </c>
      <c r="H23" s="59">
        <f t="shared" si="0"/>
        <v>46070</v>
      </c>
      <c r="I23" s="15"/>
      <c r="J23" s="60">
        <v>45166</v>
      </c>
      <c r="K23" s="59">
        <v>45897</v>
      </c>
      <c r="L23" s="61"/>
      <c r="M23" s="61"/>
      <c r="N23" s="59">
        <f>K23+365</f>
        <v>46262</v>
      </c>
      <c r="O23" s="61"/>
      <c r="P23" s="61"/>
      <c r="Q23" s="15"/>
      <c r="R23" s="15"/>
      <c r="S23" s="15"/>
      <c r="T23" s="110" t="s">
        <v>279</v>
      </c>
    </row>
    <row r="24" spans="1:21" s="4" customFormat="1" ht="15" customHeight="1" x14ac:dyDescent="0.25">
      <c r="A24" s="26">
        <v>100736</v>
      </c>
      <c r="B24" s="98" t="s">
        <v>31</v>
      </c>
      <c r="C24" s="11">
        <v>43349</v>
      </c>
      <c r="D24" s="16">
        <v>45980</v>
      </c>
      <c r="E24" s="10" t="s">
        <v>108</v>
      </c>
      <c r="F24" s="111" t="s">
        <v>311</v>
      </c>
      <c r="G24" s="85"/>
      <c r="H24" s="59">
        <f t="shared" si="0"/>
        <v>46070</v>
      </c>
      <c r="I24" s="61" t="s">
        <v>190</v>
      </c>
      <c r="J24" s="90"/>
      <c r="K24" s="59">
        <v>45779</v>
      </c>
      <c r="L24" s="61" t="s">
        <v>157</v>
      </c>
      <c r="M24" s="61"/>
      <c r="N24" s="99" t="s">
        <v>283</v>
      </c>
      <c r="O24" s="61"/>
      <c r="P24" s="99" t="s">
        <v>283</v>
      </c>
      <c r="Q24" s="59">
        <f>H24+365</f>
        <v>46435</v>
      </c>
      <c r="R24" s="61"/>
      <c r="S24" s="42"/>
      <c r="T24" s="30" t="s">
        <v>316</v>
      </c>
      <c r="U24" s="4" t="s">
        <v>318</v>
      </c>
    </row>
    <row r="25" spans="1:21" s="4" customFormat="1" ht="15" customHeight="1" x14ac:dyDescent="0.25">
      <c r="A25" s="26">
        <v>100832</v>
      </c>
      <c r="B25" s="10" t="s">
        <v>34</v>
      </c>
      <c r="C25" s="11">
        <v>43865</v>
      </c>
      <c r="D25" s="16">
        <v>45271</v>
      </c>
      <c r="E25" s="10" t="s">
        <v>124</v>
      </c>
      <c r="F25" s="111" t="s">
        <v>292</v>
      </c>
      <c r="G25" s="41" t="s">
        <v>195</v>
      </c>
      <c r="H25" s="59">
        <f t="shared" si="0"/>
        <v>45361</v>
      </c>
      <c r="I25" s="61" t="s">
        <v>194</v>
      </c>
      <c r="J25" s="60">
        <v>45429</v>
      </c>
      <c r="K25" s="59">
        <f>J25+365</f>
        <v>45794</v>
      </c>
      <c r="L25" s="61" t="s">
        <v>194</v>
      </c>
      <c r="M25" s="60">
        <v>45839</v>
      </c>
      <c r="N25" s="59">
        <f>M25+365</f>
        <v>46204</v>
      </c>
      <c r="O25" s="61" t="s">
        <v>192</v>
      </c>
      <c r="P25" s="61"/>
      <c r="Q25" s="15"/>
      <c r="R25" s="15"/>
      <c r="S25" s="15"/>
      <c r="T25" s="15"/>
    </row>
    <row r="26" spans="1:21" s="4" customFormat="1" ht="15" customHeight="1" x14ac:dyDescent="0.25">
      <c r="A26" s="26">
        <v>100125</v>
      </c>
      <c r="B26" s="10" t="s">
        <v>18</v>
      </c>
      <c r="C26" s="11">
        <v>43895</v>
      </c>
      <c r="D26" s="16">
        <v>45271</v>
      </c>
      <c r="E26" s="10" t="s">
        <v>110</v>
      </c>
      <c r="F26" s="111" t="s">
        <v>292</v>
      </c>
      <c r="G26" s="41" t="s">
        <v>195</v>
      </c>
      <c r="H26" s="59">
        <f t="shared" si="0"/>
        <v>45361</v>
      </c>
      <c r="I26" s="61" t="s">
        <v>194</v>
      </c>
      <c r="J26" s="60">
        <v>45429</v>
      </c>
      <c r="K26" s="59">
        <f>J26+365</f>
        <v>45794</v>
      </c>
      <c r="L26" s="61" t="s">
        <v>194</v>
      </c>
      <c r="M26" s="60">
        <v>45838</v>
      </c>
      <c r="N26" s="59">
        <f>M26+365</f>
        <v>46203</v>
      </c>
      <c r="O26" s="61" t="s">
        <v>192</v>
      </c>
      <c r="P26" s="61"/>
      <c r="Q26" s="15"/>
      <c r="R26" s="15"/>
      <c r="S26" s="15"/>
      <c r="T26" s="15"/>
    </row>
    <row r="27" spans="1:21" s="4" customFormat="1" ht="15" customHeight="1" x14ac:dyDescent="0.25">
      <c r="A27" s="26">
        <v>100840</v>
      </c>
      <c r="B27" s="10" t="s">
        <v>35</v>
      </c>
      <c r="C27" s="16">
        <v>43986</v>
      </c>
      <c r="D27" s="16">
        <v>44993</v>
      </c>
      <c r="E27" s="10" t="s">
        <v>125</v>
      </c>
      <c r="F27" s="111" t="s">
        <v>280</v>
      </c>
      <c r="G27" s="82" t="s">
        <v>198</v>
      </c>
      <c r="H27" s="59">
        <f t="shared" si="0"/>
        <v>45083</v>
      </c>
      <c r="I27" s="15"/>
      <c r="J27" s="80">
        <v>45040</v>
      </c>
      <c r="K27" s="59">
        <v>45775</v>
      </c>
      <c r="L27" s="61" t="s">
        <v>194</v>
      </c>
      <c r="M27" s="60">
        <v>45813</v>
      </c>
      <c r="N27" s="59">
        <f>M27+365</f>
        <v>46178</v>
      </c>
      <c r="O27" s="61" t="s">
        <v>157</v>
      </c>
      <c r="P27" s="61"/>
      <c r="Q27" s="15"/>
      <c r="R27" s="15"/>
      <c r="S27" s="15"/>
      <c r="T27" s="30" t="s">
        <v>288</v>
      </c>
    </row>
    <row r="28" spans="1:21" s="4" customFormat="1" ht="15" customHeight="1" x14ac:dyDescent="0.25">
      <c r="A28" s="26">
        <v>100915</v>
      </c>
      <c r="B28" s="10" t="s">
        <v>36</v>
      </c>
      <c r="C28" s="16">
        <v>44187</v>
      </c>
      <c r="D28" s="16">
        <v>45512</v>
      </c>
      <c r="E28" s="10" t="s">
        <v>126</v>
      </c>
      <c r="F28" s="111" t="s">
        <v>280</v>
      </c>
      <c r="G28" s="82" t="s">
        <v>201</v>
      </c>
      <c r="H28" s="59">
        <f t="shared" si="0"/>
        <v>45602</v>
      </c>
      <c r="I28" s="15"/>
      <c r="J28" s="80">
        <v>45593</v>
      </c>
      <c r="K28" s="59">
        <f>J28+365</f>
        <v>45958</v>
      </c>
      <c r="L28" s="61" t="s">
        <v>194</v>
      </c>
      <c r="M28" s="60">
        <v>45875</v>
      </c>
      <c r="N28" s="59">
        <f>M28+365</f>
        <v>46240</v>
      </c>
      <c r="O28" s="61"/>
      <c r="P28" s="61"/>
      <c r="Q28" s="15"/>
      <c r="R28" s="15"/>
      <c r="S28" s="15"/>
      <c r="T28" s="15"/>
    </row>
    <row r="29" spans="1:21" s="4" customFormat="1" ht="15" customHeight="1" x14ac:dyDescent="0.25">
      <c r="A29" s="26">
        <v>100922</v>
      </c>
      <c r="B29" s="10" t="s">
        <v>37</v>
      </c>
      <c r="C29" s="11">
        <v>44224</v>
      </c>
      <c r="D29" s="16"/>
      <c r="E29" s="10" t="s">
        <v>127</v>
      </c>
      <c r="F29" s="111" t="s">
        <v>292</v>
      </c>
      <c r="G29" s="41"/>
      <c r="H29" s="59">
        <f t="shared" si="0"/>
        <v>90</v>
      </c>
      <c r="I29" s="61"/>
      <c r="J29" s="61"/>
      <c r="K29" s="59">
        <v>45686</v>
      </c>
      <c r="L29" s="61" t="s">
        <v>194</v>
      </c>
      <c r="M29" s="60">
        <v>45686</v>
      </c>
      <c r="N29" s="59">
        <f>M29+365</f>
        <v>46051</v>
      </c>
      <c r="O29" s="61" t="s">
        <v>190</v>
      </c>
      <c r="P29" s="49" t="s">
        <v>244</v>
      </c>
      <c r="Q29" s="49" t="s">
        <v>244</v>
      </c>
      <c r="R29" s="15"/>
      <c r="S29" s="15"/>
      <c r="T29" s="58" t="s">
        <v>313</v>
      </c>
    </row>
    <row r="30" spans="1:21" s="4" customFormat="1" ht="15" customHeight="1" x14ac:dyDescent="0.25">
      <c r="A30" s="26">
        <v>100970</v>
      </c>
      <c r="B30" s="10" t="s">
        <v>40</v>
      </c>
      <c r="C30" s="11">
        <v>44602</v>
      </c>
      <c r="D30" s="16">
        <v>45323</v>
      </c>
      <c r="E30" s="10" t="s">
        <v>129</v>
      </c>
      <c r="F30" s="111" t="s">
        <v>306</v>
      </c>
      <c r="G30" s="41" t="s">
        <v>202</v>
      </c>
      <c r="H30" s="59">
        <f t="shared" si="0"/>
        <v>45413</v>
      </c>
      <c r="I30" s="61"/>
      <c r="J30" s="60">
        <v>45412</v>
      </c>
      <c r="K30" s="59">
        <f>J30+365</f>
        <v>45777</v>
      </c>
      <c r="L30" s="61"/>
      <c r="M30" s="61"/>
      <c r="N30" s="59">
        <f>K30+365</f>
        <v>46142</v>
      </c>
      <c r="O30" s="61" t="s">
        <v>157</v>
      </c>
      <c r="P30" s="61"/>
      <c r="Q30" s="15"/>
      <c r="R30" s="15"/>
      <c r="S30" s="15"/>
      <c r="T30" s="30" t="s">
        <v>289</v>
      </c>
    </row>
    <row r="31" spans="1:21" s="4" customFormat="1" ht="15" customHeight="1" x14ac:dyDescent="0.25">
      <c r="A31" s="26">
        <v>100737</v>
      </c>
      <c r="B31" s="10" t="s">
        <v>32</v>
      </c>
      <c r="C31" s="11">
        <v>44686</v>
      </c>
      <c r="D31" s="16">
        <v>45271</v>
      </c>
      <c r="E31" s="10" t="s">
        <v>123</v>
      </c>
      <c r="F31" s="111" t="s">
        <v>292</v>
      </c>
      <c r="G31" s="41" t="s">
        <v>191</v>
      </c>
      <c r="H31" s="59">
        <f t="shared" si="0"/>
        <v>45361</v>
      </c>
      <c r="I31" s="61" t="s">
        <v>194</v>
      </c>
      <c r="J31" s="60">
        <v>45414</v>
      </c>
      <c r="K31" s="59">
        <f>J31+365</f>
        <v>45779</v>
      </c>
      <c r="L31" s="61" t="s">
        <v>194</v>
      </c>
      <c r="M31" s="60">
        <v>45748</v>
      </c>
      <c r="N31" s="59">
        <f>M31+365</f>
        <v>46113</v>
      </c>
      <c r="O31" s="61" t="s">
        <v>190</v>
      </c>
      <c r="P31" s="61"/>
      <c r="Q31" s="15"/>
      <c r="R31" s="15"/>
      <c r="S31" s="15"/>
      <c r="T31" s="15"/>
    </row>
    <row r="32" spans="1:21" s="4" customFormat="1" ht="15" customHeight="1" x14ac:dyDescent="0.25">
      <c r="A32" s="26">
        <v>100963</v>
      </c>
      <c r="B32" s="10" t="s">
        <v>39</v>
      </c>
      <c r="C32" s="11">
        <v>44701</v>
      </c>
      <c r="D32" s="16">
        <v>45271</v>
      </c>
      <c r="E32" s="10" t="s">
        <v>123</v>
      </c>
      <c r="F32" s="111" t="s">
        <v>292</v>
      </c>
      <c r="G32" s="41" t="s">
        <v>191</v>
      </c>
      <c r="H32" s="59">
        <f t="shared" si="0"/>
        <v>45361</v>
      </c>
      <c r="I32" s="61" t="s">
        <v>194</v>
      </c>
      <c r="J32" s="60">
        <v>45543</v>
      </c>
      <c r="K32" s="59">
        <f>J32+365</f>
        <v>45908</v>
      </c>
      <c r="L32" s="61" t="s">
        <v>158</v>
      </c>
      <c r="M32" s="60">
        <v>45761</v>
      </c>
      <c r="N32" s="59">
        <f>M32+365</f>
        <v>46126</v>
      </c>
      <c r="O32" s="61" t="s">
        <v>157</v>
      </c>
      <c r="P32" s="61"/>
      <c r="Q32" s="15"/>
      <c r="R32" s="15"/>
      <c r="S32" s="15"/>
      <c r="T32" s="15"/>
    </row>
    <row r="33" spans="1:20" s="4" customFormat="1" ht="15" customHeight="1" x14ac:dyDescent="0.25">
      <c r="A33" s="26">
        <v>100979</v>
      </c>
      <c r="B33" s="98" t="s">
        <v>41</v>
      </c>
      <c r="C33" s="11">
        <v>44707</v>
      </c>
      <c r="D33" s="16">
        <v>45980</v>
      </c>
      <c r="E33" s="10" t="s">
        <v>108</v>
      </c>
      <c r="F33" s="111" t="s">
        <v>311</v>
      </c>
      <c r="G33" s="85"/>
      <c r="H33" s="59">
        <f>D33+90</f>
        <v>46070</v>
      </c>
      <c r="I33" s="61" t="s">
        <v>190</v>
      </c>
      <c r="J33" s="60"/>
      <c r="K33" s="59">
        <v>45799</v>
      </c>
      <c r="L33" s="61" t="s">
        <v>158</v>
      </c>
      <c r="M33" s="60">
        <v>45796</v>
      </c>
      <c r="N33" s="99" t="s">
        <v>283</v>
      </c>
      <c r="O33" s="61"/>
      <c r="P33" s="99" t="s">
        <v>283</v>
      </c>
      <c r="Q33" s="59">
        <f>H33+365</f>
        <v>46435</v>
      </c>
      <c r="R33" s="61"/>
      <c r="S33" s="42"/>
      <c r="T33" s="52" t="s">
        <v>317</v>
      </c>
    </row>
    <row r="34" spans="1:20" s="4" customFormat="1" ht="15" customHeight="1" x14ac:dyDescent="0.25">
      <c r="A34" s="26">
        <v>101011</v>
      </c>
      <c r="B34" s="10" t="s">
        <v>42</v>
      </c>
      <c r="C34" s="11">
        <v>44805</v>
      </c>
      <c r="D34" s="16">
        <v>45936</v>
      </c>
      <c r="E34" s="10" t="s">
        <v>123</v>
      </c>
      <c r="F34" s="111" t="s">
        <v>292</v>
      </c>
      <c r="G34" s="41" t="s">
        <v>204</v>
      </c>
      <c r="H34" s="59">
        <f>D34+90</f>
        <v>46026</v>
      </c>
      <c r="I34" s="61" t="s">
        <v>194</v>
      </c>
      <c r="J34" s="60">
        <v>46028</v>
      </c>
      <c r="K34" s="59" t="s">
        <v>205</v>
      </c>
      <c r="L34" s="61" t="s">
        <v>194</v>
      </c>
      <c r="M34" s="61"/>
      <c r="N34" s="59" t="s">
        <v>205</v>
      </c>
      <c r="O34" s="61"/>
      <c r="P34" s="61"/>
      <c r="Q34" s="15"/>
      <c r="R34" s="15"/>
      <c r="S34" s="15"/>
      <c r="T34" s="30" t="s">
        <v>206</v>
      </c>
    </row>
    <row r="35" spans="1:20" s="4" customFormat="1" ht="15" customHeight="1" x14ac:dyDescent="0.25">
      <c r="A35" s="26">
        <v>101021</v>
      </c>
      <c r="B35" s="10" t="s">
        <v>43</v>
      </c>
      <c r="C35" s="11">
        <v>44833</v>
      </c>
      <c r="D35" s="16">
        <v>45260</v>
      </c>
      <c r="E35" s="10" t="s">
        <v>130</v>
      </c>
      <c r="F35" s="111" t="s">
        <v>306</v>
      </c>
      <c r="G35" s="41" t="s">
        <v>202</v>
      </c>
      <c r="H35" s="59">
        <f t="shared" si="0"/>
        <v>45350</v>
      </c>
      <c r="I35" s="61"/>
      <c r="J35" s="61"/>
      <c r="K35" s="59">
        <f>H35+365</f>
        <v>45715</v>
      </c>
      <c r="L35" s="61" t="s">
        <v>194</v>
      </c>
      <c r="M35" s="60">
        <v>45849</v>
      </c>
      <c r="N35" s="59">
        <f>M35+365</f>
        <v>46214</v>
      </c>
      <c r="O35" s="61" t="s">
        <v>159</v>
      </c>
      <c r="P35" s="61"/>
      <c r="Q35" s="15"/>
      <c r="R35" s="15"/>
      <c r="S35" s="15"/>
      <c r="T35" s="30" t="s">
        <v>291</v>
      </c>
    </row>
    <row r="36" spans="1:20" s="4" customFormat="1" ht="15" customHeight="1" x14ac:dyDescent="0.25">
      <c r="A36" s="26">
        <v>101022</v>
      </c>
      <c r="B36" s="10" t="s">
        <v>44</v>
      </c>
      <c r="C36" s="11">
        <v>44840</v>
      </c>
      <c r="D36" s="16">
        <v>44840</v>
      </c>
      <c r="E36" s="10" t="s">
        <v>117</v>
      </c>
      <c r="F36" s="111" t="s">
        <v>292</v>
      </c>
      <c r="G36" s="41" t="s">
        <v>208</v>
      </c>
      <c r="H36" s="59">
        <f t="shared" si="0"/>
        <v>44930</v>
      </c>
      <c r="I36" s="61"/>
      <c r="J36" s="61"/>
      <c r="K36" s="59">
        <v>45740</v>
      </c>
      <c r="L36" s="61" t="s">
        <v>194</v>
      </c>
      <c r="M36" s="60">
        <v>45740</v>
      </c>
      <c r="N36" s="59">
        <f>M36+365</f>
        <v>46105</v>
      </c>
      <c r="O36" s="61" t="s">
        <v>190</v>
      </c>
      <c r="P36" s="61"/>
      <c r="Q36" s="15"/>
      <c r="R36" s="15"/>
      <c r="S36" s="15"/>
      <c r="T36" s="52" t="s">
        <v>288</v>
      </c>
    </row>
    <row r="37" spans="1:20" s="4" customFormat="1" ht="15" customHeight="1" x14ac:dyDescent="0.25">
      <c r="A37" s="26">
        <v>101027</v>
      </c>
      <c r="B37" s="10" t="s">
        <v>45</v>
      </c>
      <c r="C37" s="11">
        <v>44847</v>
      </c>
      <c r="D37" s="16">
        <v>44942</v>
      </c>
      <c r="E37" s="10" t="s">
        <v>131</v>
      </c>
      <c r="F37" s="41" t="s">
        <v>323</v>
      </c>
      <c r="G37" s="12" t="s">
        <v>207</v>
      </c>
      <c r="H37" s="14">
        <f t="shared" si="0"/>
        <v>45032</v>
      </c>
      <c r="I37" s="15"/>
      <c r="J37" s="15"/>
      <c r="K37" s="14">
        <v>45762</v>
      </c>
      <c r="L37" s="15" t="s">
        <v>190</v>
      </c>
      <c r="M37" s="15"/>
      <c r="N37" s="14">
        <f>K37+365</f>
        <v>46127</v>
      </c>
      <c r="O37" s="15" t="s">
        <v>190</v>
      </c>
      <c r="P37" s="15"/>
      <c r="Q37" s="15"/>
      <c r="R37" s="15"/>
      <c r="S37" s="15"/>
      <c r="T37" s="15" t="s">
        <v>209</v>
      </c>
    </row>
    <row r="38" spans="1:20" s="4" customFormat="1" ht="15" customHeight="1" x14ac:dyDescent="0.25">
      <c r="A38" s="26">
        <v>100347</v>
      </c>
      <c r="B38" s="10" t="s">
        <v>21</v>
      </c>
      <c r="C38" s="11">
        <v>44973</v>
      </c>
      <c r="D38" s="16">
        <v>44973</v>
      </c>
      <c r="E38" s="10" t="s">
        <v>114</v>
      </c>
      <c r="F38" s="111" t="s">
        <v>311</v>
      </c>
      <c r="G38" s="41" t="s">
        <v>210</v>
      </c>
      <c r="H38" s="59">
        <f t="shared" si="0"/>
        <v>45063</v>
      </c>
      <c r="I38" s="61"/>
      <c r="J38" s="61"/>
      <c r="K38" s="59">
        <v>45788</v>
      </c>
      <c r="L38" s="61" t="s">
        <v>194</v>
      </c>
      <c r="M38" s="60">
        <v>45787</v>
      </c>
      <c r="N38" s="59">
        <f t="shared" ref="N38:N44" si="2">M38+365</f>
        <v>46152</v>
      </c>
      <c r="O38" s="61" t="s">
        <v>190</v>
      </c>
      <c r="P38" s="61"/>
      <c r="Q38" s="61"/>
      <c r="R38" s="61"/>
      <c r="S38" s="61"/>
      <c r="T38" s="30" t="s">
        <v>295</v>
      </c>
    </row>
    <row r="39" spans="1:20" s="4" customFormat="1" ht="15" customHeight="1" x14ac:dyDescent="0.25">
      <c r="A39" s="26">
        <v>101050</v>
      </c>
      <c r="B39" s="10" t="s">
        <v>47</v>
      </c>
      <c r="C39" s="11">
        <v>44994</v>
      </c>
      <c r="D39" s="16">
        <v>44994</v>
      </c>
      <c r="E39" s="10" t="s">
        <v>134</v>
      </c>
      <c r="F39" s="41" t="s">
        <v>323</v>
      </c>
      <c r="G39" s="12" t="s">
        <v>211</v>
      </c>
      <c r="H39" s="14">
        <f t="shared" si="0"/>
        <v>45084</v>
      </c>
      <c r="I39" s="15"/>
      <c r="J39" s="25">
        <v>45079</v>
      </c>
      <c r="K39" s="14">
        <v>45809</v>
      </c>
      <c r="L39" s="15" t="s">
        <v>194</v>
      </c>
      <c r="M39" s="25">
        <v>45846</v>
      </c>
      <c r="N39" s="14">
        <f t="shared" si="2"/>
        <v>46211</v>
      </c>
      <c r="O39" s="15"/>
      <c r="P39" s="15"/>
      <c r="Q39" s="15"/>
      <c r="R39" s="15"/>
      <c r="S39" s="15"/>
      <c r="T39" s="15"/>
    </row>
    <row r="40" spans="1:20" s="4" customFormat="1" ht="15" customHeight="1" x14ac:dyDescent="0.25">
      <c r="A40" s="26">
        <v>101069</v>
      </c>
      <c r="B40" s="10" t="s">
        <v>48</v>
      </c>
      <c r="C40" s="11">
        <v>45127</v>
      </c>
      <c r="D40" s="16">
        <v>45271</v>
      </c>
      <c r="E40" s="10" t="s">
        <v>135</v>
      </c>
      <c r="F40" s="111" t="s">
        <v>292</v>
      </c>
      <c r="G40" s="41" t="s">
        <v>212</v>
      </c>
      <c r="H40" s="59">
        <f t="shared" si="0"/>
        <v>45361</v>
      </c>
      <c r="I40" s="61"/>
      <c r="J40" s="61"/>
      <c r="K40" s="59">
        <f>H40+365</f>
        <v>45726</v>
      </c>
      <c r="L40" s="61" t="s">
        <v>194</v>
      </c>
      <c r="M40" s="60">
        <v>45824</v>
      </c>
      <c r="N40" s="59">
        <f t="shared" si="2"/>
        <v>46189</v>
      </c>
      <c r="O40" s="61" t="s">
        <v>192</v>
      </c>
      <c r="P40" s="61"/>
      <c r="Q40" s="15"/>
      <c r="R40" s="15"/>
      <c r="S40" s="15"/>
      <c r="T40" s="15"/>
    </row>
    <row r="41" spans="1:20" s="4" customFormat="1" ht="15" customHeight="1" x14ac:dyDescent="0.25">
      <c r="A41" s="26">
        <v>100958</v>
      </c>
      <c r="B41" s="10" t="s">
        <v>38</v>
      </c>
      <c r="C41" s="11">
        <v>45145</v>
      </c>
      <c r="D41" s="16"/>
      <c r="E41" s="10" t="s">
        <v>128</v>
      </c>
      <c r="F41" s="111" t="s">
        <v>320</v>
      </c>
      <c r="G41" s="41"/>
      <c r="H41" s="59">
        <f t="shared" si="0"/>
        <v>90</v>
      </c>
      <c r="I41" s="61"/>
      <c r="J41" s="61"/>
      <c r="K41" s="59">
        <f>H41+365</f>
        <v>455</v>
      </c>
      <c r="L41" s="61" t="s">
        <v>194</v>
      </c>
      <c r="M41" s="60">
        <v>45880</v>
      </c>
      <c r="N41" s="59">
        <f t="shared" si="2"/>
        <v>46245</v>
      </c>
      <c r="O41" s="61" t="s">
        <v>159</v>
      </c>
      <c r="P41" s="61"/>
      <c r="Q41" s="61"/>
      <c r="R41" s="61"/>
      <c r="S41" s="61"/>
      <c r="T41" s="15"/>
    </row>
    <row r="42" spans="1:20" s="4" customFormat="1" ht="15" customHeight="1" x14ac:dyDescent="0.25">
      <c r="A42" s="26">
        <v>101081</v>
      </c>
      <c r="B42" s="10" t="s">
        <v>49</v>
      </c>
      <c r="C42" s="16">
        <v>45162</v>
      </c>
      <c r="D42" s="36">
        <v>46008</v>
      </c>
      <c r="E42" s="10" t="s">
        <v>136</v>
      </c>
      <c r="F42" s="111" t="s">
        <v>280</v>
      </c>
      <c r="G42" s="82"/>
      <c r="H42" s="59">
        <f t="shared" si="0"/>
        <v>46098</v>
      </c>
      <c r="I42" s="15"/>
      <c r="J42" s="80">
        <v>45607</v>
      </c>
      <c r="K42" s="59"/>
      <c r="L42" s="61" t="s">
        <v>158</v>
      </c>
      <c r="M42" s="60">
        <v>45875</v>
      </c>
      <c r="N42" s="59"/>
      <c r="O42" s="61"/>
      <c r="P42" s="61"/>
      <c r="Q42" s="43">
        <f t="shared" ref="Q42:Q43" si="3">H42+365</f>
        <v>46463</v>
      </c>
      <c r="R42" s="15"/>
      <c r="S42" s="15"/>
      <c r="T42" s="15"/>
    </row>
    <row r="43" spans="1:20" s="32" customFormat="1" ht="15" customHeight="1" x14ac:dyDescent="0.25">
      <c r="A43" s="33">
        <v>101083</v>
      </c>
      <c r="B43" s="34" t="s">
        <v>50</v>
      </c>
      <c r="C43" s="36">
        <v>45169</v>
      </c>
      <c r="D43" s="36">
        <v>46008</v>
      </c>
      <c r="E43" s="34" t="s">
        <v>136</v>
      </c>
      <c r="F43" s="111" t="s">
        <v>280</v>
      </c>
      <c r="G43" s="85"/>
      <c r="H43" s="74">
        <f t="shared" si="0"/>
        <v>46098</v>
      </c>
      <c r="I43" s="31"/>
      <c r="J43" s="84" t="s">
        <v>157</v>
      </c>
      <c r="K43" s="59"/>
      <c r="L43" s="75" t="s">
        <v>194</v>
      </c>
      <c r="M43" s="76"/>
      <c r="N43" s="74"/>
      <c r="O43" s="75" t="s">
        <v>190</v>
      </c>
      <c r="P43" s="75"/>
      <c r="Q43" s="43">
        <f t="shared" si="3"/>
        <v>46463</v>
      </c>
      <c r="R43" s="31"/>
      <c r="S43" s="31"/>
      <c r="T43" s="86" t="s">
        <v>287</v>
      </c>
    </row>
    <row r="44" spans="1:20" s="32" customFormat="1" ht="15" customHeight="1" x14ac:dyDescent="0.25">
      <c r="A44" s="33">
        <v>101084</v>
      </c>
      <c r="B44" s="34" t="s">
        <v>51</v>
      </c>
      <c r="C44" s="36">
        <v>45169</v>
      </c>
      <c r="D44" s="36">
        <v>45726</v>
      </c>
      <c r="E44" s="34" t="s">
        <v>136</v>
      </c>
      <c r="F44" s="111" t="s">
        <v>280</v>
      </c>
      <c r="G44" s="82" t="s">
        <v>228</v>
      </c>
      <c r="H44" s="74">
        <f t="shared" si="0"/>
        <v>45816</v>
      </c>
      <c r="I44" s="31"/>
      <c r="J44" s="80">
        <v>45842</v>
      </c>
      <c r="K44" s="74">
        <v>45842</v>
      </c>
      <c r="L44" s="75" t="s">
        <v>194</v>
      </c>
      <c r="M44" s="76">
        <v>45701</v>
      </c>
      <c r="N44" s="74">
        <f t="shared" si="2"/>
        <v>46066</v>
      </c>
      <c r="O44" s="75" t="s">
        <v>190</v>
      </c>
      <c r="P44" s="75"/>
      <c r="Q44" s="31"/>
      <c r="R44" s="31"/>
      <c r="S44" s="31"/>
      <c r="T44" s="30" t="s">
        <v>288</v>
      </c>
    </row>
    <row r="45" spans="1:20" s="4" customFormat="1" ht="15" customHeight="1" x14ac:dyDescent="0.25">
      <c r="A45" s="26">
        <v>101085</v>
      </c>
      <c r="B45" s="10" t="s">
        <v>52</v>
      </c>
      <c r="C45" s="11">
        <v>45169</v>
      </c>
      <c r="D45" s="16">
        <v>46083</v>
      </c>
      <c r="E45" s="10" t="s">
        <v>188</v>
      </c>
      <c r="F45" s="111" t="s">
        <v>306</v>
      </c>
      <c r="G45" s="85"/>
      <c r="H45" s="59">
        <f t="shared" si="0"/>
        <v>46173</v>
      </c>
      <c r="I45" s="61" t="s">
        <v>157</v>
      </c>
      <c r="J45" s="61"/>
      <c r="K45" s="88" t="s">
        <v>205</v>
      </c>
      <c r="L45" s="61"/>
      <c r="M45" s="61"/>
      <c r="N45" s="88" t="s">
        <v>205</v>
      </c>
      <c r="O45" s="61"/>
      <c r="P45" s="61"/>
      <c r="Q45" s="15"/>
      <c r="R45" s="15"/>
      <c r="S45" s="15"/>
      <c r="T45" s="30" t="s">
        <v>290</v>
      </c>
    </row>
    <row r="46" spans="1:20" s="4" customFormat="1" ht="15" customHeight="1" x14ac:dyDescent="0.25">
      <c r="A46" s="26">
        <v>100427</v>
      </c>
      <c r="B46" s="10" t="s">
        <v>23</v>
      </c>
      <c r="C46" s="11">
        <v>45197</v>
      </c>
      <c r="D46" s="16">
        <v>45257</v>
      </c>
      <c r="E46" s="10" t="s">
        <v>116</v>
      </c>
      <c r="F46" s="111" t="s">
        <v>311</v>
      </c>
      <c r="G46" s="41" t="s">
        <v>191</v>
      </c>
      <c r="H46" s="59">
        <f t="shared" si="0"/>
        <v>45347</v>
      </c>
      <c r="I46" s="61"/>
      <c r="J46" s="60">
        <v>45653</v>
      </c>
      <c r="K46" s="59">
        <f>J46+365</f>
        <v>46018</v>
      </c>
      <c r="L46" s="61" t="s">
        <v>157</v>
      </c>
      <c r="M46" s="61"/>
      <c r="N46" s="59">
        <f>K46+365</f>
        <v>46383</v>
      </c>
      <c r="O46" s="61"/>
      <c r="P46" s="61"/>
      <c r="Q46" s="61"/>
      <c r="R46" s="61"/>
      <c r="S46" s="61"/>
      <c r="T46" s="30" t="s">
        <v>295</v>
      </c>
    </row>
    <row r="47" spans="1:20" s="4" customFormat="1" ht="15" customHeight="1" x14ac:dyDescent="0.25">
      <c r="A47" s="26">
        <v>101094</v>
      </c>
      <c r="B47" s="10" t="s">
        <v>53</v>
      </c>
      <c r="C47" s="11">
        <v>45218</v>
      </c>
      <c r="D47" s="16">
        <v>45980</v>
      </c>
      <c r="E47" s="10" t="s">
        <v>122</v>
      </c>
      <c r="F47" s="41" t="s">
        <v>275</v>
      </c>
      <c r="G47" s="41" t="s">
        <v>213</v>
      </c>
      <c r="H47" s="59">
        <f t="shared" si="0"/>
        <v>46070</v>
      </c>
      <c r="I47" s="15"/>
      <c r="J47" s="60">
        <v>45322</v>
      </c>
      <c r="K47" s="59">
        <f>J47+365</f>
        <v>45687</v>
      </c>
      <c r="L47" s="61" t="s">
        <v>158</v>
      </c>
      <c r="M47" s="60">
        <v>45688</v>
      </c>
      <c r="N47" s="59">
        <f>M47+365</f>
        <v>46053</v>
      </c>
      <c r="O47" s="61" t="s">
        <v>190</v>
      </c>
      <c r="P47" s="61"/>
      <c r="Q47" s="15"/>
      <c r="R47" s="15"/>
      <c r="S47" s="15"/>
      <c r="T47" s="110" t="s">
        <v>279</v>
      </c>
    </row>
    <row r="48" spans="1:20" s="4" customFormat="1" ht="15" customHeight="1" x14ac:dyDescent="0.25">
      <c r="A48" s="26">
        <v>101099</v>
      </c>
      <c r="B48" s="10" t="s">
        <v>54</v>
      </c>
      <c r="C48" s="11">
        <v>45251</v>
      </c>
      <c r="D48" s="16">
        <v>45449</v>
      </c>
      <c r="E48" s="10" t="s">
        <v>134</v>
      </c>
      <c r="F48" s="41" t="s">
        <v>323</v>
      </c>
      <c r="G48" s="12" t="s">
        <v>214</v>
      </c>
      <c r="H48" s="14">
        <f t="shared" si="0"/>
        <v>45539</v>
      </c>
      <c r="I48" s="15"/>
      <c r="J48" s="15"/>
      <c r="K48" s="14">
        <f>H48+365</f>
        <v>45904</v>
      </c>
      <c r="L48" s="15" t="s">
        <v>190</v>
      </c>
      <c r="M48" s="15"/>
      <c r="N48" s="14">
        <f>K48+365</f>
        <v>46269</v>
      </c>
      <c r="O48" s="15"/>
      <c r="P48" s="15"/>
      <c r="Q48" s="15"/>
      <c r="R48" s="15"/>
      <c r="S48" s="15"/>
      <c r="T48" s="15"/>
    </row>
    <row r="49" spans="1:27" s="4" customFormat="1" ht="15" customHeight="1" x14ac:dyDescent="0.25">
      <c r="A49" s="26">
        <v>101100</v>
      </c>
      <c r="B49" s="10" t="s">
        <v>55</v>
      </c>
      <c r="C49" s="11">
        <v>45251</v>
      </c>
      <c r="D49" s="16">
        <v>45271</v>
      </c>
      <c r="E49" s="10" t="s">
        <v>118</v>
      </c>
      <c r="F49" s="111" t="s">
        <v>292</v>
      </c>
      <c r="G49" s="41" t="s">
        <v>191</v>
      </c>
      <c r="H49" s="59">
        <f t="shared" si="0"/>
        <v>45361</v>
      </c>
      <c r="I49" s="61" t="s">
        <v>194</v>
      </c>
      <c r="J49" s="60">
        <v>45356</v>
      </c>
      <c r="K49" s="59">
        <f>J49+365</f>
        <v>45721</v>
      </c>
      <c r="L49" s="61" t="s">
        <v>194</v>
      </c>
      <c r="M49" s="60">
        <v>45826</v>
      </c>
      <c r="N49" s="59">
        <f>M49+365</f>
        <v>46191</v>
      </c>
      <c r="O49" s="61" t="s">
        <v>190</v>
      </c>
      <c r="P49" s="61"/>
      <c r="Q49" s="15"/>
      <c r="R49" s="15"/>
      <c r="S49" s="15"/>
      <c r="T49" s="52" t="s">
        <v>288</v>
      </c>
    </row>
    <row r="50" spans="1:27" s="4" customFormat="1" ht="15" customHeight="1" x14ac:dyDescent="0.25">
      <c r="A50" s="26">
        <v>100624</v>
      </c>
      <c r="B50" s="10" t="s">
        <v>25</v>
      </c>
      <c r="C50" s="11">
        <v>45264</v>
      </c>
      <c r="D50" s="16">
        <v>44960</v>
      </c>
      <c r="E50" s="10" t="s">
        <v>107</v>
      </c>
      <c r="F50" s="111" t="s">
        <v>320</v>
      </c>
      <c r="G50" s="41" t="s">
        <v>215</v>
      </c>
      <c r="H50" s="59">
        <f t="shared" si="0"/>
        <v>45050</v>
      </c>
      <c r="I50" s="61"/>
      <c r="J50" s="60">
        <v>45352</v>
      </c>
      <c r="K50" s="59">
        <f>J50+365</f>
        <v>45717</v>
      </c>
      <c r="L50" s="61" t="s">
        <v>194</v>
      </c>
      <c r="M50" s="60">
        <v>45719</v>
      </c>
      <c r="N50" s="59">
        <f>M50+365</f>
        <v>46084</v>
      </c>
      <c r="O50" s="61" t="s">
        <v>157</v>
      </c>
      <c r="P50" s="61"/>
      <c r="Q50" s="61"/>
      <c r="R50" s="61"/>
      <c r="S50" s="61"/>
      <c r="T50" s="15"/>
    </row>
    <row r="51" spans="1:27" s="32" customFormat="1" ht="15" customHeight="1" x14ac:dyDescent="0.25">
      <c r="A51" s="33">
        <v>101118</v>
      </c>
      <c r="B51" s="34" t="s">
        <v>56</v>
      </c>
      <c r="C51" s="36">
        <v>45336</v>
      </c>
      <c r="D51" s="36">
        <v>45726</v>
      </c>
      <c r="E51" s="34" t="s">
        <v>136</v>
      </c>
      <c r="F51" s="111" t="s">
        <v>280</v>
      </c>
      <c r="G51" s="82" t="s">
        <v>217</v>
      </c>
      <c r="H51" s="74">
        <f t="shared" si="0"/>
        <v>45816</v>
      </c>
      <c r="I51" s="31"/>
      <c r="J51" s="80">
        <v>45838</v>
      </c>
      <c r="K51" s="74"/>
      <c r="L51" s="75"/>
      <c r="M51" s="75"/>
      <c r="N51" s="74">
        <f>J51+365</f>
        <v>46203</v>
      </c>
      <c r="O51" s="75" t="s">
        <v>192</v>
      </c>
      <c r="P51" s="75"/>
      <c r="Q51" s="31"/>
      <c r="R51" s="31"/>
      <c r="S51" s="31"/>
      <c r="T51" s="30" t="s">
        <v>288</v>
      </c>
    </row>
    <row r="52" spans="1:27" s="4" customFormat="1" ht="15" customHeight="1" x14ac:dyDescent="0.25">
      <c r="A52" s="26">
        <v>101131</v>
      </c>
      <c r="B52" s="10" t="s">
        <v>57</v>
      </c>
      <c r="C52" s="11">
        <v>45400</v>
      </c>
      <c r="D52" s="16">
        <v>45400</v>
      </c>
      <c r="E52" s="10" t="s">
        <v>123</v>
      </c>
      <c r="F52" s="111" t="s">
        <v>292</v>
      </c>
      <c r="G52" s="41" t="s">
        <v>216</v>
      </c>
      <c r="H52" s="59">
        <f t="shared" si="0"/>
        <v>45490</v>
      </c>
      <c r="I52" s="61" t="s">
        <v>194</v>
      </c>
      <c r="J52" s="60">
        <v>45510</v>
      </c>
      <c r="K52" s="59">
        <f>J52+365</f>
        <v>45875</v>
      </c>
      <c r="L52" s="61" t="s">
        <v>194</v>
      </c>
      <c r="M52" s="60">
        <v>45898</v>
      </c>
      <c r="N52" s="59">
        <f>M52+365</f>
        <v>46263</v>
      </c>
      <c r="O52" s="61"/>
      <c r="P52" s="61"/>
      <c r="Q52" s="15"/>
      <c r="R52" s="15"/>
      <c r="S52" s="15"/>
      <c r="T52" s="15"/>
    </row>
    <row r="53" spans="1:27" s="4" customFormat="1" ht="15" customHeight="1" x14ac:dyDescent="0.25">
      <c r="A53" s="26">
        <v>101134</v>
      </c>
      <c r="B53" s="10" t="s">
        <v>58</v>
      </c>
      <c r="C53" s="11">
        <v>45407</v>
      </c>
      <c r="D53" s="16">
        <v>45813</v>
      </c>
      <c r="E53" s="10" t="s">
        <v>137</v>
      </c>
      <c r="F53" s="41" t="s">
        <v>271</v>
      </c>
      <c r="G53" s="41" t="s">
        <v>218</v>
      </c>
      <c r="H53" s="59">
        <f t="shared" si="0"/>
        <v>45903</v>
      </c>
      <c r="I53" s="15"/>
      <c r="J53" s="61"/>
      <c r="K53" s="59">
        <v>45813</v>
      </c>
      <c r="L53" s="61" t="s">
        <v>158</v>
      </c>
      <c r="M53" s="61"/>
      <c r="N53" s="59">
        <f>D53+365</f>
        <v>46178</v>
      </c>
      <c r="O53" s="61" t="s">
        <v>190</v>
      </c>
      <c r="P53" s="61"/>
      <c r="Q53" s="15"/>
      <c r="R53" s="15"/>
      <c r="S53" s="15"/>
      <c r="T53" s="2" t="s">
        <v>252</v>
      </c>
      <c r="U53" s="4" t="s">
        <v>219</v>
      </c>
    </row>
    <row r="54" spans="1:27" s="4" customFormat="1" ht="15" customHeight="1" x14ac:dyDescent="0.25">
      <c r="A54" s="26">
        <v>101139</v>
      </c>
      <c r="B54" s="10" t="s">
        <v>59</v>
      </c>
      <c r="C54" s="11">
        <v>45439</v>
      </c>
      <c r="D54" s="16">
        <v>45439</v>
      </c>
      <c r="E54" s="10" t="s">
        <v>118</v>
      </c>
      <c r="F54" s="111" t="s">
        <v>292</v>
      </c>
      <c r="G54" s="41" t="s">
        <v>220</v>
      </c>
      <c r="H54" s="59">
        <f t="shared" si="0"/>
        <v>45529</v>
      </c>
      <c r="I54" s="61" t="s">
        <v>194</v>
      </c>
      <c r="J54" s="60">
        <v>45541</v>
      </c>
      <c r="K54" s="59">
        <f>J54+365</f>
        <v>45906</v>
      </c>
      <c r="L54" s="61" t="s">
        <v>194</v>
      </c>
      <c r="M54" s="60">
        <v>45897</v>
      </c>
      <c r="N54" s="59">
        <f>M54+365</f>
        <v>46262</v>
      </c>
      <c r="O54" s="61"/>
      <c r="P54" s="61"/>
      <c r="Q54" s="15"/>
      <c r="R54" s="15"/>
      <c r="S54" s="15"/>
      <c r="T54" s="15"/>
    </row>
    <row r="55" spans="1:27" s="32" customFormat="1" ht="15" customHeight="1" x14ac:dyDescent="0.25">
      <c r="A55" s="33">
        <v>101142</v>
      </c>
      <c r="B55" s="34" t="s">
        <v>60</v>
      </c>
      <c r="C55" s="35">
        <v>45449</v>
      </c>
      <c r="D55" s="36">
        <v>45449</v>
      </c>
      <c r="E55" s="34" t="s">
        <v>118</v>
      </c>
      <c r="F55" s="111" t="s">
        <v>292</v>
      </c>
      <c r="G55" s="73" t="s">
        <v>221</v>
      </c>
      <c r="H55" s="74">
        <f t="shared" si="0"/>
        <v>45539</v>
      </c>
      <c r="I55" s="75" t="s">
        <v>157</v>
      </c>
      <c r="J55" s="75"/>
      <c r="K55" s="74">
        <f>H55+365</f>
        <v>45904</v>
      </c>
      <c r="L55" s="75" t="s">
        <v>157</v>
      </c>
      <c r="M55" s="75"/>
      <c r="N55" s="74">
        <f>K55+365</f>
        <v>46269</v>
      </c>
      <c r="O55" s="75"/>
      <c r="P55" s="75"/>
      <c r="Q55" s="31"/>
      <c r="R55" s="31"/>
      <c r="S55" s="31"/>
      <c r="T55" s="31" t="s">
        <v>293</v>
      </c>
    </row>
    <row r="56" spans="1:27" s="4" customFormat="1" ht="15" customHeight="1" x14ac:dyDescent="0.25">
      <c r="A56" s="26">
        <v>101155</v>
      </c>
      <c r="B56" s="10" t="s">
        <v>61</v>
      </c>
      <c r="C56" s="16">
        <v>45484</v>
      </c>
      <c r="D56" s="16">
        <v>45484</v>
      </c>
      <c r="E56" s="10" t="s">
        <v>138</v>
      </c>
      <c r="F56" s="111" t="s">
        <v>280</v>
      </c>
      <c r="G56" s="82" t="s">
        <v>222</v>
      </c>
      <c r="H56" s="59">
        <f t="shared" si="0"/>
        <v>45574</v>
      </c>
      <c r="I56" s="15"/>
      <c r="J56" s="80">
        <v>45567</v>
      </c>
      <c r="K56" s="59">
        <f>J56+365</f>
        <v>45932</v>
      </c>
      <c r="L56" s="61" t="s">
        <v>194</v>
      </c>
      <c r="M56" s="60">
        <v>45838</v>
      </c>
      <c r="N56" s="59">
        <f>M56+365</f>
        <v>46203</v>
      </c>
      <c r="O56" s="61" t="s">
        <v>157</v>
      </c>
      <c r="P56" s="61"/>
      <c r="Q56" s="15"/>
      <c r="R56" s="15"/>
      <c r="S56" s="15"/>
      <c r="T56" s="30" t="s">
        <v>288</v>
      </c>
    </row>
    <row r="57" spans="1:27" s="4" customFormat="1" ht="15" customHeight="1" x14ac:dyDescent="0.25">
      <c r="A57" s="26">
        <v>101156</v>
      </c>
      <c r="B57" s="10" t="s">
        <v>62</v>
      </c>
      <c r="C57" s="11">
        <v>45491</v>
      </c>
      <c r="D57" s="16">
        <v>45827</v>
      </c>
      <c r="E57" s="10" t="s">
        <v>139</v>
      </c>
      <c r="F57" s="111" t="s">
        <v>306</v>
      </c>
      <c r="G57" s="41" t="s">
        <v>223</v>
      </c>
      <c r="H57" s="59">
        <f t="shared" si="0"/>
        <v>45917</v>
      </c>
      <c r="I57" s="61"/>
      <c r="J57" s="60"/>
      <c r="K57" s="59" t="s">
        <v>224</v>
      </c>
      <c r="L57" s="61" t="s">
        <v>194</v>
      </c>
      <c r="M57" s="60">
        <v>45852</v>
      </c>
      <c r="N57" s="59">
        <f>G57+365</f>
        <v>46217</v>
      </c>
      <c r="O57" s="61" t="s">
        <v>159</v>
      </c>
      <c r="P57" s="61"/>
      <c r="Q57" s="15"/>
      <c r="R57" s="15"/>
      <c r="S57" s="15"/>
      <c r="T57" s="30" t="s">
        <v>291</v>
      </c>
    </row>
    <row r="58" spans="1:27" s="4" customFormat="1" ht="15" customHeight="1" x14ac:dyDescent="0.25">
      <c r="A58" s="26">
        <v>101160</v>
      </c>
      <c r="B58" s="10" t="s">
        <v>63</v>
      </c>
      <c r="C58" s="11">
        <v>45516</v>
      </c>
      <c r="D58" s="16">
        <v>45516</v>
      </c>
      <c r="E58" s="10" t="s">
        <v>107</v>
      </c>
      <c r="F58" s="111" t="s">
        <v>320</v>
      </c>
      <c r="G58" s="41" t="s">
        <v>226</v>
      </c>
      <c r="H58" s="59">
        <f t="shared" si="0"/>
        <v>45606</v>
      </c>
      <c r="I58" s="61"/>
      <c r="J58" s="60">
        <v>45608</v>
      </c>
      <c r="K58" s="59">
        <f>J58+365</f>
        <v>45973</v>
      </c>
      <c r="L58" s="61" t="s">
        <v>194</v>
      </c>
      <c r="M58" s="104">
        <v>45971</v>
      </c>
      <c r="N58" s="59">
        <f>M58+365</f>
        <v>46336</v>
      </c>
      <c r="O58" s="75"/>
      <c r="P58" s="61"/>
      <c r="Q58" s="61"/>
      <c r="R58" s="75"/>
      <c r="S58" s="61"/>
      <c r="T58" s="15"/>
    </row>
    <row r="59" spans="1:27" s="4" customFormat="1" ht="15" customHeight="1" x14ac:dyDescent="0.25">
      <c r="A59" s="26">
        <v>101163</v>
      </c>
      <c r="B59" s="10" t="s">
        <v>64</v>
      </c>
      <c r="C59" s="11">
        <v>45537</v>
      </c>
      <c r="D59" s="16">
        <v>45537</v>
      </c>
      <c r="E59" s="10" t="s">
        <v>118</v>
      </c>
      <c r="F59" s="111" t="s">
        <v>292</v>
      </c>
      <c r="G59" s="41" t="s">
        <v>225</v>
      </c>
      <c r="H59" s="59">
        <f t="shared" si="0"/>
        <v>45627</v>
      </c>
      <c r="I59" s="61"/>
      <c r="J59" s="61"/>
      <c r="K59" s="59">
        <f>H59+365</f>
        <v>45992</v>
      </c>
      <c r="L59" s="61" t="s">
        <v>194</v>
      </c>
      <c r="M59" s="60">
        <v>45751</v>
      </c>
      <c r="N59" s="59">
        <f>M59+365</f>
        <v>46116</v>
      </c>
      <c r="O59" s="61" t="s">
        <v>157</v>
      </c>
      <c r="P59" s="61"/>
      <c r="Q59" s="15"/>
      <c r="R59" s="15"/>
      <c r="S59" s="15"/>
      <c r="T59" s="52" t="s">
        <v>288</v>
      </c>
    </row>
    <row r="60" spans="1:27" s="4" customFormat="1" ht="15" customHeight="1" x14ac:dyDescent="0.25">
      <c r="A60" s="26">
        <v>101164</v>
      </c>
      <c r="B60" s="10" t="s">
        <v>65</v>
      </c>
      <c r="C60" s="11">
        <v>45540</v>
      </c>
      <c r="D60" s="16">
        <v>45540</v>
      </c>
      <c r="E60" s="10" t="s">
        <v>118</v>
      </c>
      <c r="F60" s="111" t="s">
        <v>292</v>
      </c>
      <c r="G60" s="41" t="s">
        <v>227</v>
      </c>
      <c r="H60" s="59">
        <f t="shared" si="0"/>
        <v>45630</v>
      </c>
      <c r="I60" s="61" t="s">
        <v>157</v>
      </c>
      <c r="J60" s="61"/>
      <c r="K60" s="59">
        <f>H60+365</f>
        <v>45995</v>
      </c>
      <c r="L60" s="61" t="s">
        <v>194</v>
      </c>
      <c r="M60" s="60">
        <v>45670</v>
      </c>
      <c r="N60" s="59">
        <f>M60+365</f>
        <v>46035</v>
      </c>
      <c r="O60" s="61" t="s">
        <v>190</v>
      </c>
      <c r="P60" s="61"/>
      <c r="Q60" s="15"/>
      <c r="R60" s="15"/>
      <c r="S60" s="15"/>
      <c r="T60" s="52" t="s">
        <v>294</v>
      </c>
    </row>
    <row r="61" spans="1:27" s="4" customFormat="1" ht="13.2" x14ac:dyDescent="0.25">
      <c r="A61" s="26">
        <v>101167</v>
      </c>
      <c r="B61" s="10" t="s">
        <v>66</v>
      </c>
      <c r="C61" s="11">
        <v>45544</v>
      </c>
      <c r="D61" s="16">
        <v>45936</v>
      </c>
      <c r="E61" s="10" t="s">
        <v>123</v>
      </c>
      <c r="F61" s="111" t="s">
        <v>292</v>
      </c>
      <c r="G61" s="85"/>
      <c r="H61" s="59">
        <f t="shared" si="0"/>
        <v>46026</v>
      </c>
      <c r="I61" s="61"/>
      <c r="J61" s="61"/>
      <c r="K61" s="59">
        <v>45936</v>
      </c>
      <c r="L61" s="61"/>
      <c r="M61" s="61"/>
      <c r="N61" s="59"/>
      <c r="O61" s="61"/>
      <c r="P61" s="61"/>
      <c r="Q61" s="59">
        <f>H61+365</f>
        <v>46391</v>
      </c>
      <c r="R61" s="15"/>
      <c r="S61" s="15"/>
      <c r="T61" s="30" t="s">
        <v>302</v>
      </c>
    </row>
    <row r="62" spans="1:27" s="38" customFormat="1" ht="15" customHeight="1" x14ac:dyDescent="0.25">
      <c r="A62" s="54">
        <v>100697</v>
      </c>
      <c r="B62" s="46" t="s">
        <v>28</v>
      </c>
      <c r="C62" s="51">
        <v>45617</v>
      </c>
      <c r="D62" s="16">
        <v>45980</v>
      </c>
      <c r="E62" s="46" t="s">
        <v>120</v>
      </c>
      <c r="F62" s="41" t="s">
        <v>275</v>
      </c>
      <c r="G62" s="66"/>
      <c r="H62" s="68">
        <f>D62+90</f>
        <v>46070</v>
      </c>
      <c r="I62" s="45"/>
      <c r="J62" s="67">
        <v>45779</v>
      </c>
      <c r="K62" s="69">
        <f>D62+90</f>
        <v>46070</v>
      </c>
      <c r="L62" s="70" t="s">
        <v>158</v>
      </c>
      <c r="M62" s="44">
        <v>45821</v>
      </c>
      <c r="N62" s="69">
        <f>K62+360</f>
        <v>46430</v>
      </c>
      <c r="O62" s="70" t="s">
        <v>157</v>
      </c>
      <c r="P62" s="61"/>
      <c r="Q62" s="37"/>
      <c r="R62" s="37"/>
      <c r="S62" s="37"/>
      <c r="T62" s="110" t="s">
        <v>276</v>
      </c>
      <c r="U62" s="55"/>
      <c r="V62" s="55"/>
      <c r="W62" s="55"/>
      <c r="X62" s="55"/>
      <c r="Y62" s="55"/>
      <c r="Z62" s="55"/>
      <c r="AA62" s="55"/>
    </row>
    <row r="63" spans="1:27" s="4" customFormat="1" ht="15" customHeight="1" x14ac:dyDescent="0.25">
      <c r="A63" s="26">
        <v>101175</v>
      </c>
      <c r="B63" s="10" t="s">
        <v>67</v>
      </c>
      <c r="C63" s="11">
        <v>45638</v>
      </c>
      <c r="D63" s="77">
        <v>45638</v>
      </c>
      <c r="E63" s="10" t="s">
        <v>118</v>
      </c>
      <c r="F63" s="111" t="s">
        <v>292</v>
      </c>
      <c r="G63" s="41" t="s">
        <v>229</v>
      </c>
      <c r="H63" s="62">
        <f>D63+90</f>
        <v>45728</v>
      </c>
      <c r="I63" s="61" t="s">
        <v>194</v>
      </c>
      <c r="J63" s="63">
        <v>45841</v>
      </c>
      <c r="K63" s="64"/>
      <c r="L63" s="61" t="s">
        <v>190</v>
      </c>
      <c r="M63" s="65"/>
      <c r="N63" s="64">
        <f>J63+365</f>
        <v>46206</v>
      </c>
      <c r="O63" s="61" t="s">
        <v>192</v>
      </c>
      <c r="P63" s="61"/>
      <c r="Q63" s="15"/>
      <c r="R63" s="15"/>
      <c r="S63" s="15"/>
      <c r="T63" s="52" t="s">
        <v>296</v>
      </c>
    </row>
    <row r="64" spans="1:27" s="4" customFormat="1" ht="15" customHeight="1" x14ac:dyDescent="0.25">
      <c r="A64" s="26">
        <v>100760</v>
      </c>
      <c r="B64" s="10" t="s">
        <v>33</v>
      </c>
      <c r="C64" s="11">
        <v>45666</v>
      </c>
      <c r="D64" s="77">
        <v>45936</v>
      </c>
      <c r="E64" s="10" t="s">
        <v>117</v>
      </c>
      <c r="F64" s="111" t="s">
        <v>292</v>
      </c>
      <c r="G64" s="85"/>
      <c r="H64" s="64">
        <f t="shared" ref="H64:H116" si="4">D64+90</f>
        <v>46026</v>
      </c>
      <c r="I64" s="61" t="s">
        <v>190</v>
      </c>
      <c r="J64" s="65"/>
      <c r="K64" s="64"/>
      <c r="L64" s="61"/>
      <c r="M64" s="65"/>
      <c r="N64" s="64"/>
      <c r="O64" s="61"/>
      <c r="P64" s="61"/>
      <c r="Q64" s="15"/>
      <c r="R64" s="15"/>
      <c r="S64" s="15"/>
      <c r="T64" s="53" t="s">
        <v>299</v>
      </c>
      <c r="U64" s="4" t="s">
        <v>297</v>
      </c>
    </row>
    <row r="65" spans="1:21" s="4" customFormat="1" ht="15" customHeight="1" x14ac:dyDescent="0.25">
      <c r="A65" s="26">
        <v>101180</v>
      </c>
      <c r="B65" s="10" t="s">
        <v>68</v>
      </c>
      <c r="C65" s="11">
        <v>45677</v>
      </c>
      <c r="D65" s="39">
        <v>45799</v>
      </c>
      <c r="E65" s="10" t="s">
        <v>140</v>
      </c>
      <c r="F65" s="111" t="s">
        <v>320</v>
      </c>
      <c r="G65" s="41" t="s">
        <v>230</v>
      </c>
      <c r="H65" s="62">
        <f t="shared" si="4"/>
        <v>45889</v>
      </c>
      <c r="I65" s="61"/>
      <c r="J65" s="63">
        <v>45891</v>
      </c>
      <c r="K65" s="100" t="s">
        <v>283</v>
      </c>
      <c r="L65" s="61" t="s">
        <v>190</v>
      </c>
      <c r="M65" s="100" t="s">
        <v>283</v>
      </c>
      <c r="N65" s="64">
        <f>J65+360</f>
        <v>46251</v>
      </c>
      <c r="O65" s="61" t="s">
        <v>159</v>
      </c>
      <c r="P65" s="61"/>
      <c r="Q65" s="61"/>
      <c r="R65" s="61"/>
      <c r="S65" s="61"/>
      <c r="T65" s="52" t="s">
        <v>253</v>
      </c>
      <c r="U65" s="4" t="s">
        <v>321</v>
      </c>
    </row>
    <row r="66" spans="1:21" s="4" customFormat="1" ht="15" customHeight="1" x14ac:dyDescent="0.25">
      <c r="A66" s="26">
        <v>101181</v>
      </c>
      <c r="B66" s="10" t="s">
        <v>69</v>
      </c>
      <c r="C66" s="11">
        <v>45677</v>
      </c>
      <c r="D66" s="77">
        <v>45677</v>
      </c>
      <c r="E66" s="10" t="s">
        <v>118</v>
      </c>
      <c r="F66" s="111" t="s">
        <v>292</v>
      </c>
      <c r="G66" s="41" t="s">
        <v>231</v>
      </c>
      <c r="H66" s="62">
        <f t="shared" si="4"/>
        <v>45767</v>
      </c>
      <c r="I66" s="61" t="s">
        <v>194</v>
      </c>
      <c r="J66" s="63">
        <v>45768</v>
      </c>
      <c r="K66" s="64" t="s">
        <v>283</v>
      </c>
      <c r="L66" s="61"/>
      <c r="M66" s="64" t="s">
        <v>283</v>
      </c>
      <c r="N66" s="64">
        <f>J66+360</f>
        <v>46128</v>
      </c>
      <c r="O66" s="61" t="s">
        <v>157</v>
      </c>
      <c r="P66" s="61"/>
      <c r="Q66" s="15"/>
      <c r="R66" s="15"/>
      <c r="S66" s="15"/>
      <c r="T66" s="52" t="s">
        <v>288</v>
      </c>
    </row>
    <row r="67" spans="1:21" s="4" customFormat="1" ht="15" customHeight="1" x14ac:dyDescent="0.25">
      <c r="A67" s="26">
        <v>101182</v>
      </c>
      <c r="B67" s="10" t="s">
        <v>70</v>
      </c>
      <c r="C67" s="11">
        <v>45677</v>
      </c>
      <c r="D67" s="77">
        <v>45677</v>
      </c>
      <c r="E67" s="10" t="s">
        <v>118</v>
      </c>
      <c r="F67" s="111" t="s">
        <v>292</v>
      </c>
      <c r="G67" s="41" t="s">
        <v>231</v>
      </c>
      <c r="H67" s="62">
        <f t="shared" si="4"/>
        <v>45767</v>
      </c>
      <c r="I67" s="61" t="s">
        <v>194</v>
      </c>
      <c r="J67" s="63">
        <v>45768</v>
      </c>
      <c r="K67" s="64" t="s">
        <v>283</v>
      </c>
      <c r="L67" s="61"/>
      <c r="M67" s="64" t="s">
        <v>283</v>
      </c>
      <c r="N67" s="62">
        <f>J67+360</f>
        <v>46128</v>
      </c>
      <c r="O67" s="61" t="s">
        <v>157</v>
      </c>
      <c r="P67" s="61"/>
      <c r="Q67" s="15"/>
      <c r="R67" s="15"/>
      <c r="S67" s="15"/>
      <c r="T67" s="52" t="s">
        <v>288</v>
      </c>
    </row>
    <row r="68" spans="1:21" s="4" customFormat="1" ht="15" customHeight="1" x14ac:dyDescent="0.25">
      <c r="A68" s="26">
        <v>101183</v>
      </c>
      <c r="B68" s="10" t="s">
        <v>71</v>
      </c>
      <c r="C68" s="11">
        <v>45680</v>
      </c>
      <c r="D68" s="77">
        <v>45680</v>
      </c>
      <c r="E68" s="10" t="s">
        <v>118</v>
      </c>
      <c r="F68" s="111" t="s">
        <v>292</v>
      </c>
      <c r="G68" s="41" t="s">
        <v>232</v>
      </c>
      <c r="H68" s="62">
        <f t="shared" si="4"/>
        <v>45770</v>
      </c>
      <c r="I68" s="61" t="s">
        <v>194</v>
      </c>
      <c r="J68" s="63">
        <v>45770</v>
      </c>
      <c r="K68" s="64" t="s">
        <v>283</v>
      </c>
      <c r="L68" s="61"/>
      <c r="M68" s="64" t="s">
        <v>283</v>
      </c>
      <c r="N68" s="62">
        <f>J68+360</f>
        <v>46130</v>
      </c>
      <c r="O68" s="61" t="s">
        <v>157</v>
      </c>
      <c r="P68" s="61"/>
      <c r="Q68" s="15"/>
      <c r="R68" s="15"/>
      <c r="S68" s="15"/>
      <c r="T68" s="52" t="s">
        <v>288</v>
      </c>
    </row>
    <row r="69" spans="1:21" s="4" customFormat="1" ht="15" customHeight="1" x14ac:dyDescent="0.25">
      <c r="A69" s="26">
        <v>100429</v>
      </c>
      <c r="B69" s="10" t="s">
        <v>24</v>
      </c>
      <c r="C69" s="11">
        <v>45687</v>
      </c>
      <c r="D69" s="77">
        <v>45936</v>
      </c>
      <c r="E69" s="10" t="s">
        <v>117</v>
      </c>
      <c r="F69" s="111" t="s">
        <v>292</v>
      </c>
      <c r="G69" s="85"/>
      <c r="H69" s="59">
        <f t="shared" si="4"/>
        <v>46026</v>
      </c>
      <c r="I69" s="61" t="s">
        <v>157</v>
      </c>
      <c r="J69" s="65"/>
      <c r="K69" s="64" t="s">
        <v>283</v>
      </c>
      <c r="L69" s="61"/>
      <c r="M69" s="64" t="s">
        <v>283</v>
      </c>
      <c r="N69" s="64" t="s">
        <v>283</v>
      </c>
      <c r="O69" s="61"/>
      <c r="P69" s="61"/>
      <c r="Q69" s="15"/>
      <c r="R69" s="15"/>
      <c r="S69" s="15"/>
      <c r="T69" s="52" t="s">
        <v>300</v>
      </c>
    </row>
    <row r="70" spans="1:21" s="4" customFormat="1" ht="15" customHeight="1" x14ac:dyDescent="0.25">
      <c r="A70" s="26">
        <v>101185</v>
      </c>
      <c r="B70" s="98" t="s">
        <v>72</v>
      </c>
      <c r="C70" s="11">
        <v>45699</v>
      </c>
      <c r="D70" s="16">
        <v>45980</v>
      </c>
      <c r="E70" s="10" t="s">
        <v>108</v>
      </c>
      <c r="F70" s="111" t="s">
        <v>311</v>
      </c>
      <c r="G70" s="41" t="s">
        <v>233</v>
      </c>
      <c r="H70" s="64">
        <f t="shared" si="4"/>
        <v>46070</v>
      </c>
      <c r="I70" s="61" t="s">
        <v>157</v>
      </c>
      <c r="J70" s="79"/>
      <c r="K70" s="100" t="s">
        <v>283</v>
      </c>
      <c r="L70" s="61"/>
      <c r="M70" s="100" t="s">
        <v>283</v>
      </c>
      <c r="N70" s="64">
        <f>H70+365</f>
        <v>46435</v>
      </c>
      <c r="O70" s="61" t="s">
        <v>190</v>
      </c>
      <c r="P70" s="61"/>
      <c r="Q70" s="61"/>
      <c r="R70" s="61"/>
      <c r="S70" s="61"/>
      <c r="T70" s="52" t="s">
        <v>252</v>
      </c>
    </row>
    <row r="71" spans="1:21" s="4" customFormat="1" ht="15" customHeight="1" x14ac:dyDescent="0.25">
      <c r="A71" s="26">
        <v>204508</v>
      </c>
      <c r="B71" s="10" t="s">
        <v>75</v>
      </c>
      <c r="C71" s="16">
        <v>45715</v>
      </c>
      <c r="D71" s="77">
        <v>45715</v>
      </c>
      <c r="E71" s="10" t="s">
        <v>142</v>
      </c>
      <c r="F71" s="111" t="s">
        <v>280</v>
      </c>
      <c r="G71" s="82" t="s">
        <v>234</v>
      </c>
      <c r="H71" s="62">
        <f t="shared" si="4"/>
        <v>45805</v>
      </c>
      <c r="I71" s="15"/>
      <c r="J71" s="81">
        <v>45804</v>
      </c>
      <c r="K71" s="64" t="s">
        <v>283</v>
      </c>
      <c r="L71" s="61"/>
      <c r="M71" s="65"/>
      <c r="N71" s="62">
        <f>J71+360</f>
        <v>46164</v>
      </c>
      <c r="O71" s="61" t="s">
        <v>157</v>
      </c>
      <c r="P71" s="61"/>
      <c r="Q71" s="15"/>
      <c r="R71" s="15"/>
      <c r="S71" s="15"/>
      <c r="T71" s="52" t="s">
        <v>331</v>
      </c>
      <c r="U71" s="4" t="s">
        <v>332</v>
      </c>
    </row>
    <row r="72" spans="1:21" s="4" customFormat="1" ht="15" customHeight="1" x14ac:dyDescent="0.25">
      <c r="A72" s="26">
        <v>204513</v>
      </c>
      <c r="B72" s="10" t="s">
        <v>76</v>
      </c>
      <c r="C72" s="11">
        <v>45719</v>
      </c>
      <c r="D72" s="11">
        <v>45719</v>
      </c>
      <c r="E72" s="10" t="s">
        <v>143</v>
      </c>
      <c r="F72" s="41" t="s">
        <v>305</v>
      </c>
      <c r="G72" s="48" t="s">
        <v>244</v>
      </c>
      <c r="H72" s="48" t="s">
        <v>244</v>
      </c>
      <c r="I72" s="15"/>
      <c r="J72" s="48" t="s">
        <v>244</v>
      </c>
      <c r="K72" s="48" t="s">
        <v>244</v>
      </c>
      <c r="L72" s="15"/>
      <c r="M72" s="48" t="s">
        <v>244</v>
      </c>
      <c r="N72" s="48" t="s">
        <v>244</v>
      </c>
      <c r="O72" s="15"/>
      <c r="P72" s="15"/>
      <c r="Q72" s="15"/>
      <c r="R72" s="15"/>
      <c r="S72" s="15"/>
      <c r="T72" s="72" t="s">
        <v>270</v>
      </c>
    </row>
    <row r="73" spans="1:21" s="4" customFormat="1" ht="15" customHeight="1" x14ac:dyDescent="0.25">
      <c r="A73" s="26">
        <v>204521</v>
      </c>
      <c r="B73" s="10" t="s">
        <v>77</v>
      </c>
      <c r="C73" s="11">
        <v>45726</v>
      </c>
      <c r="D73" s="77">
        <v>45726</v>
      </c>
      <c r="E73" s="10" t="s">
        <v>118</v>
      </c>
      <c r="F73" s="111" t="s">
        <v>292</v>
      </c>
      <c r="G73" s="41" t="s">
        <v>235</v>
      </c>
      <c r="H73" s="62">
        <f t="shared" si="4"/>
        <v>45816</v>
      </c>
      <c r="I73" s="61" t="s">
        <v>194</v>
      </c>
      <c r="J73" s="63">
        <v>45834</v>
      </c>
      <c r="K73" s="64" t="s">
        <v>283</v>
      </c>
      <c r="L73" s="61"/>
      <c r="M73" s="64" t="s">
        <v>283</v>
      </c>
      <c r="N73" s="62">
        <f>J73+360</f>
        <v>46194</v>
      </c>
      <c r="O73" s="61" t="s">
        <v>157</v>
      </c>
      <c r="P73" s="61"/>
      <c r="Q73" s="15"/>
      <c r="R73" s="15"/>
      <c r="S73" s="15"/>
      <c r="T73" s="52" t="s">
        <v>254</v>
      </c>
    </row>
    <row r="74" spans="1:21" s="4" customFormat="1" ht="15" customHeight="1" x14ac:dyDescent="0.25">
      <c r="A74" s="26">
        <v>204524</v>
      </c>
      <c r="B74" s="98" t="s">
        <v>78</v>
      </c>
      <c r="C74" s="11">
        <v>45727</v>
      </c>
      <c r="D74" s="77">
        <v>46041</v>
      </c>
      <c r="E74" s="10" t="s">
        <v>108</v>
      </c>
      <c r="F74" s="111" t="s">
        <v>311</v>
      </c>
      <c r="G74" s="85"/>
      <c r="H74" s="64">
        <f t="shared" si="4"/>
        <v>46131</v>
      </c>
      <c r="I74" s="61" t="s">
        <v>190</v>
      </c>
      <c r="J74" s="65"/>
      <c r="K74" s="100" t="s">
        <v>283</v>
      </c>
      <c r="L74" s="61"/>
      <c r="M74" s="100" t="s">
        <v>283</v>
      </c>
      <c r="N74" s="100" t="s">
        <v>283</v>
      </c>
      <c r="O74" s="61"/>
      <c r="P74" s="100" t="s">
        <v>283</v>
      </c>
      <c r="Q74" s="59">
        <f>H74+365</f>
        <v>46496</v>
      </c>
      <c r="R74" s="61"/>
      <c r="S74" s="42"/>
      <c r="T74" s="53" t="s">
        <v>319</v>
      </c>
      <c r="U74" s="4" t="s">
        <v>314</v>
      </c>
    </row>
    <row r="75" spans="1:21" s="4" customFormat="1" ht="15" customHeight="1" x14ac:dyDescent="0.25">
      <c r="A75" s="26">
        <v>204525</v>
      </c>
      <c r="B75" s="10" t="s">
        <v>79</v>
      </c>
      <c r="C75" s="11">
        <v>45727</v>
      </c>
      <c r="D75" s="77">
        <v>45810</v>
      </c>
      <c r="E75" s="10" t="s">
        <v>118</v>
      </c>
      <c r="F75" s="111" t="s">
        <v>292</v>
      </c>
      <c r="G75" s="41" t="s">
        <v>236</v>
      </c>
      <c r="H75" s="62">
        <f>D75+90</f>
        <v>45900</v>
      </c>
      <c r="I75" s="61" t="s">
        <v>194</v>
      </c>
      <c r="J75" s="63">
        <v>45902</v>
      </c>
      <c r="K75" s="64" t="s">
        <v>283</v>
      </c>
      <c r="L75" s="61"/>
      <c r="M75" s="64" t="s">
        <v>283</v>
      </c>
      <c r="N75" s="62">
        <f>J75+360</f>
        <v>46262</v>
      </c>
      <c r="O75" s="61"/>
      <c r="P75" s="61"/>
      <c r="Q75" s="15"/>
      <c r="R75" s="15"/>
      <c r="S75" s="15"/>
      <c r="T75" s="52" t="s">
        <v>301</v>
      </c>
    </row>
    <row r="76" spans="1:21" s="4" customFormat="1" ht="15" customHeight="1" x14ac:dyDescent="0.25">
      <c r="A76" s="26">
        <v>204541</v>
      </c>
      <c r="B76" s="10" t="s">
        <v>80</v>
      </c>
      <c r="C76" s="11">
        <v>45740</v>
      </c>
      <c r="D76" s="39">
        <v>45740</v>
      </c>
      <c r="E76" s="10" t="s">
        <v>144</v>
      </c>
      <c r="F76" s="111" t="s">
        <v>306</v>
      </c>
      <c r="G76" s="41" t="s">
        <v>237</v>
      </c>
      <c r="H76" s="62">
        <f t="shared" si="4"/>
        <v>45830</v>
      </c>
      <c r="I76" s="61"/>
      <c r="J76" s="63">
        <v>45849</v>
      </c>
      <c r="K76" s="64"/>
      <c r="L76" s="61"/>
      <c r="M76" s="65"/>
      <c r="N76" s="62">
        <f>J76+360</f>
        <v>46209</v>
      </c>
      <c r="O76" s="61" t="s">
        <v>159</v>
      </c>
      <c r="P76" s="61"/>
      <c r="Q76" s="15"/>
      <c r="R76" s="15"/>
      <c r="S76" s="15"/>
      <c r="T76" s="30" t="s">
        <v>291</v>
      </c>
    </row>
    <row r="77" spans="1:21" s="4" customFormat="1" ht="15" customHeight="1" x14ac:dyDescent="0.25">
      <c r="A77" s="26">
        <v>204542</v>
      </c>
      <c r="B77" s="10" t="s">
        <v>81</v>
      </c>
      <c r="C77" s="16">
        <v>45740</v>
      </c>
      <c r="D77" s="77">
        <v>45740</v>
      </c>
      <c r="E77" s="10" t="s">
        <v>142</v>
      </c>
      <c r="F77" s="111" t="s">
        <v>280</v>
      </c>
      <c r="G77" s="82" t="s">
        <v>238</v>
      </c>
      <c r="H77" s="62">
        <f t="shared" si="4"/>
        <v>45830</v>
      </c>
      <c r="I77" s="15"/>
      <c r="J77" s="81">
        <v>45818</v>
      </c>
      <c r="K77" s="64" t="s">
        <v>283</v>
      </c>
      <c r="L77" s="61"/>
      <c r="M77" s="65"/>
      <c r="N77" s="62">
        <f>J77+360</f>
        <v>46178</v>
      </c>
      <c r="O77" s="61" t="s">
        <v>157</v>
      </c>
      <c r="P77" s="61"/>
      <c r="Q77" s="15"/>
      <c r="R77" s="15"/>
      <c r="S77" s="15"/>
      <c r="T77" s="52" t="s">
        <v>331</v>
      </c>
    </row>
    <row r="78" spans="1:21" s="4" customFormat="1" ht="15" customHeight="1" x14ac:dyDescent="0.25">
      <c r="A78" s="26">
        <v>204549</v>
      </c>
      <c r="B78" s="10" t="s">
        <v>82</v>
      </c>
      <c r="C78" s="11">
        <v>45742</v>
      </c>
      <c r="D78" s="77">
        <v>45810</v>
      </c>
      <c r="E78" s="10" t="s">
        <v>118</v>
      </c>
      <c r="F78" s="111" t="s">
        <v>292</v>
      </c>
      <c r="G78" s="41" t="s">
        <v>236</v>
      </c>
      <c r="H78" s="62">
        <f t="shared" si="4"/>
        <v>45900</v>
      </c>
      <c r="I78" s="61" t="s">
        <v>194</v>
      </c>
      <c r="J78" s="63">
        <v>45902</v>
      </c>
      <c r="K78" s="64" t="s">
        <v>283</v>
      </c>
      <c r="L78" s="61"/>
      <c r="M78" s="64" t="s">
        <v>283</v>
      </c>
      <c r="N78" s="62">
        <f>J78+360</f>
        <v>46262</v>
      </c>
      <c r="O78" s="61"/>
      <c r="P78" s="61"/>
      <c r="Q78" s="15"/>
      <c r="R78" s="15"/>
      <c r="S78" s="15"/>
      <c r="T78" s="52" t="s">
        <v>301</v>
      </c>
    </row>
    <row r="79" spans="1:21" s="4" customFormat="1" ht="15" customHeight="1" x14ac:dyDescent="0.25">
      <c r="A79" s="26">
        <v>204570</v>
      </c>
      <c r="B79" s="98" t="s">
        <v>83</v>
      </c>
      <c r="C79" s="11">
        <v>45755</v>
      </c>
      <c r="D79" s="77">
        <v>46041</v>
      </c>
      <c r="E79" s="10" t="s">
        <v>108</v>
      </c>
      <c r="F79" s="111" t="s">
        <v>311</v>
      </c>
      <c r="G79" s="41"/>
      <c r="H79" s="64">
        <f>D79+90</f>
        <v>46131</v>
      </c>
      <c r="I79" s="61" t="s">
        <v>157</v>
      </c>
      <c r="J79" s="65"/>
      <c r="K79" s="100" t="s">
        <v>283</v>
      </c>
      <c r="L79" s="61"/>
      <c r="M79" s="100" t="s">
        <v>283</v>
      </c>
      <c r="N79" s="100" t="s">
        <v>283</v>
      </c>
      <c r="O79" s="97"/>
      <c r="P79" s="100" t="s">
        <v>283</v>
      </c>
      <c r="Q79" s="59">
        <f>H79+365</f>
        <v>46496</v>
      </c>
      <c r="R79" s="61"/>
      <c r="S79" s="42"/>
      <c r="T79" s="52" t="s">
        <v>315</v>
      </c>
    </row>
    <row r="80" spans="1:21" s="4" customFormat="1" ht="15" customHeight="1" x14ac:dyDescent="0.25">
      <c r="A80" s="26">
        <v>204579</v>
      </c>
      <c r="B80" s="10" t="s">
        <v>84</v>
      </c>
      <c r="C80" s="16">
        <v>45761</v>
      </c>
      <c r="D80" s="78">
        <v>45761</v>
      </c>
      <c r="E80" s="10" t="s">
        <v>142</v>
      </c>
      <c r="F80" s="111" t="s">
        <v>280</v>
      </c>
      <c r="G80" s="83" t="s">
        <v>239</v>
      </c>
      <c r="H80" s="64">
        <f t="shared" si="4"/>
        <v>45851</v>
      </c>
      <c r="I80" s="15"/>
      <c r="J80" s="80">
        <v>45841</v>
      </c>
      <c r="K80" s="64" t="s">
        <v>283</v>
      </c>
      <c r="L80" s="61"/>
      <c r="M80" s="65"/>
      <c r="N80" s="64">
        <f>J80+360</f>
        <v>46201</v>
      </c>
      <c r="O80" s="61" t="s">
        <v>157</v>
      </c>
      <c r="P80" s="61"/>
      <c r="Q80" s="15"/>
      <c r="R80" s="15"/>
      <c r="S80" s="15"/>
      <c r="T80" s="52" t="s">
        <v>252</v>
      </c>
    </row>
    <row r="81" spans="1:20" s="4" customFormat="1" ht="15" customHeight="1" x14ac:dyDescent="0.25">
      <c r="A81" s="26">
        <v>204580</v>
      </c>
      <c r="B81" s="10" t="s">
        <v>85</v>
      </c>
      <c r="C81" s="16">
        <v>45761</v>
      </c>
      <c r="D81" s="77">
        <v>45761</v>
      </c>
      <c r="E81" s="10" t="s">
        <v>145</v>
      </c>
      <c r="F81" s="111" t="s">
        <v>280</v>
      </c>
      <c r="G81" s="82" t="s">
        <v>240</v>
      </c>
      <c r="H81" s="62">
        <f t="shared" si="4"/>
        <v>45851</v>
      </c>
      <c r="I81" s="15"/>
      <c r="J81" s="81">
        <v>45840</v>
      </c>
      <c r="K81" s="64" t="s">
        <v>283</v>
      </c>
      <c r="L81" s="61"/>
      <c r="M81" s="65"/>
      <c r="N81" s="62">
        <f>J81+360</f>
        <v>46200</v>
      </c>
      <c r="O81" s="61" t="s">
        <v>157</v>
      </c>
      <c r="P81" s="61"/>
      <c r="Q81" s="15"/>
      <c r="R81" s="15"/>
      <c r="S81" s="15"/>
      <c r="T81" s="53" t="s">
        <v>255</v>
      </c>
    </row>
    <row r="82" spans="1:20" s="4" customFormat="1" ht="15" customHeight="1" x14ac:dyDescent="0.25">
      <c r="A82" s="26">
        <v>204595</v>
      </c>
      <c r="B82" s="10" t="s">
        <v>86</v>
      </c>
      <c r="C82" s="11">
        <v>45784</v>
      </c>
      <c r="D82" s="77">
        <v>45810</v>
      </c>
      <c r="E82" s="10" t="s">
        <v>118</v>
      </c>
      <c r="F82" s="111" t="s">
        <v>292</v>
      </c>
      <c r="G82" s="41" t="s">
        <v>236</v>
      </c>
      <c r="H82" s="62">
        <f>D82+90</f>
        <v>45900</v>
      </c>
      <c r="I82" s="61" t="s">
        <v>194</v>
      </c>
      <c r="J82" s="63">
        <v>45901</v>
      </c>
      <c r="K82" s="64" t="s">
        <v>283</v>
      </c>
      <c r="L82" s="61"/>
      <c r="M82" s="64" t="s">
        <v>283</v>
      </c>
      <c r="N82" s="62">
        <f>J82+360</f>
        <v>46261</v>
      </c>
      <c r="O82" s="61"/>
      <c r="P82" s="61"/>
      <c r="Q82" s="15"/>
      <c r="R82" s="15"/>
      <c r="S82" s="15"/>
      <c r="T82" s="52" t="s">
        <v>301</v>
      </c>
    </row>
    <row r="83" spans="1:20" s="4" customFormat="1" ht="13.2" x14ac:dyDescent="0.25">
      <c r="A83" s="26">
        <v>204596</v>
      </c>
      <c r="B83" s="10" t="s">
        <v>87</v>
      </c>
      <c r="C83" s="11">
        <v>45784</v>
      </c>
      <c r="D83" s="77">
        <v>45784</v>
      </c>
      <c r="E83" s="10" t="s">
        <v>118</v>
      </c>
      <c r="F83" s="111" t="s">
        <v>292</v>
      </c>
      <c r="G83" s="41" t="s">
        <v>241</v>
      </c>
      <c r="H83" s="62">
        <f t="shared" si="4"/>
        <v>45874</v>
      </c>
      <c r="I83" s="61" t="s">
        <v>194</v>
      </c>
      <c r="J83" s="63">
        <v>45876</v>
      </c>
      <c r="K83" s="64" t="s">
        <v>283</v>
      </c>
      <c r="L83" s="61"/>
      <c r="M83" s="64" t="s">
        <v>283</v>
      </c>
      <c r="N83" s="62">
        <f>J83+360</f>
        <v>46236</v>
      </c>
      <c r="O83" s="61"/>
      <c r="P83" s="61"/>
      <c r="Q83" s="15"/>
      <c r="R83" s="15"/>
      <c r="S83" s="15"/>
      <c r="T83" s="52" t="s">
        <v>301</v>
      </c>
    </row>
    <row r="84" spans="1:20" s="4" customFormat="1" ht="13.2" x14ac:dyDescent="0.25">
      <c r="A84" s="26">
        <v>204598</v>
      </c>
      <c r="B84" s="10" t="s">
        <v>88</v>
      </c>
      <c r="C84" s="11">
        <v>45789</v>
      </c>
      <c r="D84" s="77">
        <v>45789</v>
      </c>
      <c r="E84" s="10" t="s">
        <v>135</v>
      </c>
      <c r="F84" s="111" t="s">
        <v>292</v>
      </c>
      <c r="G84" s="41" t="s">
        <v>242</v>
      </c>
      <c r="H84" s="62">
        <f>D84+90</f>
        <v>45879</v>
      </c>
      <c r="I84" s="61" t="s">
        <v>194</v>
      </c>
      <c r="J84" s="63">
        <v>45881</v>
      </c>
      <c r="K84" s="64" t="s">
        <v>283</v>
      </c>
      <c r="L84" s="61"/>
      <c r="M84" s="64" t="s">
        <v>283</v>
      </c>
      <c r="N84" s="62">
        <f>J84+360</f>
        <v>46241</v>
      </c>
      <c r="O84" s="61"/>
      <c r="P84" s="61"/>
      <c r="Q84" s="15"/>
      <c r="R84" s="15"/>
      <c r="S84" s="15"/>
      <c r="T84" s="52" t="s">
        <v>301</v>
      </c>
    </row>
    <row r="85" spans="1:20" s="4" customFormat="1" ht="15" customHeight="1" x14ac:dyDescent="0.25">
      <c r="A85" s="26">
        <v>204602</v>
      </c>
      <c r="B85" s="10" t="s">
        <v>89</v>
      </c>
      <c r="C85" s="11">
        <v>45796</v>
      </c>
      <c r="D85" s="39">
        <v>45796</v>
      </c>
      <c r="E85" s="10" t="s">
        <v>134</v>
      </c>
      <c r="F85" s="41" t="s">
        <v>324</v>
      </c>
      <c r="G85" s="41" t="s">
        <v>243</v>
      </c>
      <c r="H85" s="62">
        <f t="shared" si="4"/>
        <v>45886</v>
      </c>
      <c r="I85" s="61" t="s">
        <v>194</v>
      </c>
      <c r="J85" s="63">
        <v>45877</v>
      </c>
      <c r="K85" s="64"/>
      <c r="L85" s="61"/>
      <c r="M85" s="65"/>
      <c r="N85" s="62">
        <f>J85+365</f>
        <v>46242</v>
      </c>
      <c r="O85" s="61" t="s">
        <v>192</v>
      </c>
      <c r="P85" s="61"/>
      <c r="Q85" s="61"/>
      <c r="R85" s="61"/>
      <c r="S85" s="61"/>
      <c r="T85" s="52" t="s">
        <v>326</v>
      </c>
    </row>
    <row r="86" spans="1:20" s="4" customFormat="1" ht="13.5" customHeight="1" x14ac:dyDescent="0.25">
      <c r="A86" s="26">
        <v>204612</v>
      </c>
      <c r="B86" s="10" t="s">
        <v>90</v>
      </c>
      <c r="C86" s="11">
        <v>45817</v>
      </c>
      <c r="D86" s="27">
        <v>45817</v>
      </c>
      <c r="E86" s="46" t="s">
        <v>146</v>
      </c>
      <c r="F86" s="92" t="s">
        <v>156</v>
      </c>
      <c r="G86" s="48" t="s">
        <v>244</v>
      </c>
      <c r="H86" s="49" t="s">
        <v>244</v>
      </c>
      <c r="I86" s="15"/>
      <c r="J86" s="50" t="s">
        <v>244</v>
      </c>
      <c r="K86" s="49" t="s">
        <v>244</v>
      </c>
      <c r="L86" s="15"/>
      <c r="M86" s="50" t="s">
        <v>244</v>
      </c>
      <c r="N86" s="49" t="s">
        <v>244</v>
      </c>
      <c r="O86" s="15"/>
      <c r="P86" s="15"/>
      <c r="Q86" s="15"/>
      <c r="R86" s="15"/>
      <c r="S86" s="15"/>
      <c r="T86" s="30"/>
    </row>
    <row r="87" spans="1:20" s="4" customFormat="1" ht="13.2" x14ac:dyDescent="0.25">
      <c r="A87" s="26">
        <v>204617</v>
      </c>
      <c r="B87" s="10" t="s">
        <v>91</v>
      </c>
      <c r="C87" s="11">
        <v>45831</v>
      </c>
      <c r="D87" s="40">
        <v>45831</v>
      </c>
      <c r="E87" s="10" t="s">
        <v>148</v>
      </c>
      <c r="F87" s="111" t="s">
        <v>310</v>
      </c>
      <c r="G87" s="41" t="s">
        <v>245</v>
      </c>
      <c r="H87" s="43">
        <f t="shared" si="4"/>
        <v>45921</v>
      </c>
      <c r="I87" s="15"/>
      <c r="J87" s="15"/>
      <c r="K87" s="43"/>
      <c r="L87" s="15"/>
      <c r="M87" s="42"/>
      <c r="N87" s="43">
        <f>G87+365</f>
        <v>46269</v>
      </c>
      <c r="O87" s="15"/>
      <c r="P87" s="15"/>
      <c r="Q87" s="43">
        <f>N87+365</f>
        <v>46634</v>
      </c>
      <c r="R87" s="15"/>
      <c r="S87" s="15"/>
      <c r="T87" s="52" t="s">
        <v>309</v>
      </c>
    </row>
    <row r="88" spans="1:20" s="4" customFormat="1" ht="18.75" customHeight="1" x14ac:dyDescent="0.25">
      <c r="A88" s="26">
        <v>204618</v>
      </c>
      <c r="B88" s="10" t="s">
        <v>92</v>
      </c>
      <c r="C88" s="11">
        <v>45831</v>
      </c>
      <c r="D88" s="39">
        <v>45831</v>
      </c>
      <c r="E88" s="10" t="s">
        <v>149</v>
      </c>
      <c r="F88" s="41" t="s">
        <v>271</v>
      </c>
      <c r="G88" s="41" t="s">
        <v>246</v>
      </c>
      <c r="H88" s="62">
        <f t="shared" si="4"/>
        <v>45921</v>
      </c>
      <c r="I88" s="15"/>
      <c r="J88" s="63">
        <v>45923</v>
      </c>
      <c r="K88" s="64"/>
      <c r="L88" s="61"/>
      <c r="M88" s="65"/>
      <c r="N88" s="62">
        <f>J88+365</f>
        <v>46288</v>
      </c>
      <c r="O88" s="61"/>
      <c r="P88" s="61"/>
      <c r="Q88" s="15"/>
      <c r="R88" s="15"/>
      <c r="S88" s="15"/>
      <c r="T88" s="2" t="s">
        <v>278</v>
      </c>
    </row>
    <row r="89" spans="1:20" s="4" customFormat="1" ht="15" customHeight="1" x14ac:dyDescent="0.25">
      <c r="A89" s="26">
        <v>204620</v>
      </c>
      <c r="B89" s="10" t="s">
        <v>93</v>
      </c>
      <c r="C89" s="11">
        <v>45838</v>
      </c>
      <c r="D89" s="39">
        <v>45838</v>
      </c>
      <c r="E89" s="10" t="s">
        <v>149</v>
      </c>
      <c r="F89" s="41" t="s">
        <v>271</v>
      </c>
      <c r="G89" s="41" t="s">
        <v>247</v>
      </c>
      <c r="H89" s="62">
        <f t="shared" si="4"/>
        <v>45928</v>
      </c>
      <c r="I89" s="15"/>
      <c r="J89" s="63">
        <v>45926</v>
      </c>
      <c r="K89" s="64"/>
      <c r="L89" s="61"/>
      <c r="M89" s="65"/>
      <c r="N89" s="62">
        <f>J89+365</f>
        <v>46291</v>
      </c>
      <c r="O89" s="61"/>
      <c r="P89" s="61"/>
      <c r="Q89" s="15"/>
      <c r="R89" s="15"/>
      <c r="S89" s="15"/>
      <c r="T89" s="2" t="s">
        <v>278</v>
      </c>
    </row>
    <row r="90" spans="1:20" s="4" customFormat="1" ht="13.2" x14ac:dyDescent="0.25">
      <c r="A90" s="26">
        <v>204621</v>
      </c>
      <c r="B90" s="10" t="s">
        <v>94</v>
      </c>
      <c r="C90" s="11">
        <v>45841</v>
      </c>
      <c r="D90" s="40">
        <v>45841</v>
      </c>
      <c r="E90" s="10" t="s">
        <v>148</v>
      </c>
      <c r="F90" s="111" t="s">
        <v>310</v>
      </c>
      <c r="G90" s="41" t="s">
        <v>248</v>
      </c>
      <c r="H90" s="43">
        <f t="shared" si="4"/>
        <v>45931</v>
      </c>
      <c r="I90" s="15" t="s">
        <v>157</v>
      </c>
      <c r="J90" s="15"/>
      <c r="K90" s="43"/>
      <c r="L90" s="15"/>
      <c r="M90" s="42"/>
      <c r="N90" s="43">
        <f>G90+365</f>
        <v>46298</v>
      </c>
      <c r="O90" s="15"/>
      <c r="P90" s="15"/>
      <c r="Q90" s="43">
        <f>N90+365</f>
        <v>46663</v>
      </c>
      <c r="R90" s="15"/>
      <c r="S90" s="15"/>
      <c r="T90" s="52" t="s">
        <v>256</v>
      </c>
    </row>
    <row r="91" spans="1:20" s="4" customFormat="1" ht="14.25" customHeight="1" x14ac:dyDescent="0.25">
      <c r="A91" s="26">
        <v>204625</v>
      </c>
      <c r="B91" s="10" t="s">
        <v>95</v>
      </c>
      <c r="C91" s="11">
        <v>45859</v>
      </c>
      <c r="D91" s="11">
        <v>45859</v>
      </c>
      <c r="E91" s="46" t="s">
        <v>150</v>
      </c>
      <c r="F91" s="92" t="s">
        <v>156</v>
      </c>
      <c r="G91" s="48" t="s">
        <v>244</v>
      </c>
      <c r="H91" s="49" t="s">
        <v>244</v>
      </c>
      <c r="I91" s="15"/>
      <c r="J91" s="50" t="s">
        <v>244</v>
      </c>
      <c r="K91" s="49" t="s">
        <v>244</v>
      </c>
      <c r="L91" s="15"/>
      <c r="M91" s="50" t="s">
        <v>244</v>
      </c>
      <c r="N91" s="49" t="s">
        <v>244</v>
      </c>
      <c r="O91" s="15"/>
      <c r="P91" s="15"/>
      <c r="Q91" s="15"/>
      <c r="R91" s="15"/>
      <c r="S91" s="15"/>
      <c r="T91" s="30"/>
    </row>
    <row r="92" spans="1:20" s="4" customFormat="1" ht="13.2" x14ac:dyDescent="0.25">
      <c r="A92" s="26">
        <v>100658</v>
      </c>
      <c r="B92" s="10" t="s">
        <v>26</v>
      </c>
      <c r="C92" s="11">
        <v>45869</v>
      </c>
      <c r="D92" s="77">
        <v>45869</v>
      </c>
      <c r="E92" s="10" t="s">
        <v>118</v>
      </c>
      <c r="F92" s="111" t="s">
        <v>292</v>
      </c>
      <c r="G92" s="41" t="s">
        <v>249</v>
      </c>
      <c r="H92" s="62">
        <f t="shared" si="4"/>
        <v>45959</v>
      </c>
      <c r="I92" s="91" t="s">
        <v>194</v>
      </c>
      <c r="J92" s="63">
        <v>45918</v>
      </c>
      <c r="K92" s="64" t="s">
        <v>283</v>
      </c>
      <c r="L92" s="61"/>
      <c r="M92" s="64" t="s">
        <v>283</v>
      </c>
      <c r="N92" s="62">
        <f>J92+365</f>
        <v>46283</v>
      </c>
      <c r="O92" s="61"/>
      <c r="P92" s="61"/>
      <c r="Q92" s="15"/>
      <c r="R92" s="15"/>
      <c r="S92" s="15"/>
      <c r="T92" s="52" t="s">
        <v>301</v>
      </c>
    </row>
    <row r="93" spans="1:20" s="4" customFormat="1" ht="13.5" customHeight="1" x14ac:dyDescent="0.25">
      <c r="A93" s="26">
        <v>204635</v>
      </c>
      <c r="B93" s="10" t="s">
        <v>96</v>
      </c>
      <c r="C93" s="11">
        <v>45874</v>
      </c>
      <c r="D93" s="11">
        <v>45874</v>
      </c>
      <c r="E93" s="46" t="s">
        <v>151</v>
      </c>
      <c r="F93" s="111" t="s">
        <v>310</v>
      </c>
      <c r="G93" s="48" t="s">
        <v>244</v>
      </c>
      <c r="H93" s="49" t="s">
        <v>244</v>
      </c>
      <c r="I93" s="15"/>
      <c r="J93" s="50" t="s">
        <v>244</v>
      </c>
      <c r="K93" s="49" t="s">
        <v>244</v>
      </c>
      <c r="L93" s="15"/>
      <c r="M93" s="50" t="s">
        <v>244</v>
      </c>
      <c r="N93" s="49" t="s">
        <v>244</v>
      </c>
      <c r="O93" s="15"/>
      <c r="P93" s="49" t="s">
        <v>244</v>
      </c>
      <c r="Q93" s="49" t="s">
        <v>244</v>
      </c>
      <c r="R93" s="15"/>
      <c r="S93" s="15"/>
      <c r="T93" s="58" t="s">
        <v>313</v>
      </c>
    </row>
    <row r="94" spans="1:20" s="4" customFormat="1" ht="13.2" x14ac:dyDescent="0.25">
      <c r="A94" s="26">
        <v>204639</v>
      </c>
      <c r="B94" s="10" t="s">
        <v>97</v>
      </c>
      <c r="C94" s="11">
        <v>45875</v>
      </c>
      <c r="D94" s="89">
        <v>45875</v>
      </c>
      <c r="E94" s="46" t="s">
        <v>118</v>
      </c>
      <c r="F94" s="111" t="s">
        <v>292</v>
      </c>
      <c r="G94" s="85"/>
      <c r="H94" s="59">
        <f t="shared" si="4"/>
        <v>45965</v>
      </c>
      <c r="I94" s="61"/>
      <c r="J94" s="93"/>
      <c r="K94" s="64" t="s">
        <v>283</v>
      </c>
      <c r="L94" s="61"/>
      <c r="M94" s="64" t="s">
        <v>283</v>
      </c>
      <c r="N94" s="59">
        <f>H94+360</f>
        <v>46325</v>
      </c>
      <c r="O94" s="61"/>
      <c r="P94" s="61"/>
      <c r="Q94" s="15"/>
      <c r="R94" s="15"/>
      <c r="S94" s="15"/>
      <c r="T94" s="52" t="s">
        <v>301</v>
      </c>
    </row>
    <row r="95" spans="1:20" s="4" customFormat="1" ht="11.25" customHeight="1" x14ac:dyDescent="0.25">
      <c r="A95" s="26">
        <v>204640</v>
      </c>
      <c r="B95" s="10" t="s">
        <v>98</v>
      </c>
      <c r="C95" s="11">
        <v>45876</v>
      </c>
      <c r="D95" s="27">
        <v>45932</v>
      </c>
      <c r="E95" s="46" t="s">
        <v>152</v>
      </c>
      <c r="F95" s="41" t="s">
        <v>327</v>
      </c>
      <c r="G95" s="48" t="s">
        <v>244</v>
      </c>
      <c r="H95" s="49" t="s">
        <v>244</v>
      </c>
      <c r="I95" s="15"/>
      <c r="J95" s="50" t="s">
        <v>244</v>
      </c>
      <c r="K95" s="49" t="s">
        <v>244</v>
      </c>
      <c r="L95" s="15"/>
      <c r="M95" s="50" t="s">
        <v>244</v>
      </c>
      <c r="N95" s="49" t="s">
        <v>244</v>
      </c>
      <c r="O95" s="15"/>
      <c r="P95" s="15"/>
      <c r="Q95" s="15"/>
      <c r="R95" s="15"/>
      <c r="S95" s="15"/>
      <c r="T95" s="58" t="s">
        <v>270</v>
      </c>
    </row>
    <row r="96" spans="1:20" s="4" customFormat="1" ht="13.5" customHeight="1" x14ac:dyDescent="0.25">
      <c r="A96" s="26">
        <v>204656</v>
      </c>
      <c r="B96" s="10" t="s">
        <v>99</v>
      </c>
      <c r="C96" s="11">
        <v>45894</v>
      </c>
      <c r="D96" s="51">
        <v>45894</v>
      </c>
      <c r="E96" s="46" t="s">
        <v>153</v>
      </c>
      <c r="F96" s="41" t="s">
        <v>323</v>
      </c>
      <c r="G96" s="48" t="s">
        <v>244</v>
      </c>
      <c r="H96" s="49" t="s">
        <v>244</v>
      </c>
      <c r="I96" s="15"/>
      <c r="J96" s="50" t="s">
        <v>244</v>
      </c>
      <c r="K96" s="49" t="s">
        <v>244</v>
      </c>
      <c r="L96" s="15"/>
      <c r="M96" s="50" t="s">
        <v>244</v>
      </c>
      <c r="N96" s="49" t="s">
        <v>244</v>
      </c>
      <c r="O96" s="15"/>
      <c r="P96" s="49" t="s">
        <v>244</v>
      </c>
      <c r="Q96" s="49" t="s">
        <v>244</v>
      </c>
      <c r="R96" s="15"/>
      <c r="S96" s="15"/>
      <c r="T96" s="58" t="s">
        <v>313</v>
      </c>
    </row>
    <row r="97" spans="1:20" s="4" customFormat="1" ht="16.8" x14ac:dyDescent="0.25">
      <c r="A97" s="26">
        <v>204675</v>
      </c>
      <c r="B97" s="10" t="s">
        <v>100</v>
      </c>
      <c r="C97" s="11">
        <v>45917</v>
      </c>
      <c r="D97" s="51">
        <v>45917</v>
      </c>
      <c r="E97" s="46" t="s">
        <v>141</v>
      </c>
      <c r="F97" s="41" t="s">
        <v>327</v>
      </c>
      <c r="G97" s="48" t="s">
        <v>244</v>
      </c>
      <c r="H97" s="49" t="s">
        <v>244</v>
      </c>
      <c r="I97" s="15"/>
      <c r="J97" s="50" t="s">
        <v>244</v>
      </c>
      <c r="K97" s="49" t="s">
        <v>244</v>
      </c>
      <c r="L97" s="15"/>
      <c r="M97" s="50" t="s">
        <v>244</v>
      </c>
      <c r="N97" s="49" t="s">
        <v>244</v>
      </c>
      <c r="O97" s="15"/>
      <c r="P97" s="15"/>
      <c r="Q97" s="15"/>
      <c r="R97" s="15"/>
      <c r="S97" s="15"/>
      <c r="T97" s="58" t="s">
        <v>270</v>
      </c>
    </row>
    <row r="98" spans="1:20" s="4" customFormat="1" ht="13.5" customHeight="1" x14ac:dyDescent="0.25">
      <c r="A98" s="26">
        <v>101043</v>
      </c>
      <c r="B98" s="10" t="s">
        <v>46</v>
      </c>
      <c r="C98" s="16">
        <v>45925</v>
      </c>
      <c r="D98" s="16">
        <v>45925</v>
      </c>
      <c r="E98" s="10" t="s">
        <v>132</v>
      </c>
      <c r="F98" s="111" t="s">
        <v>280</v>
      </c>
      <c r="G98" s="82" t="s">
        <v>250</v>
      </c>
      <c r="H98" s="62">
        <f t="shared" si="4"/>
        <v>46015</v>
      </c>
      <c r="I98" s="15"/>
      <c r="J98" s="81">
        <v>46014</v>
      </c>
      <c r="K98" s="64" t="s">
        <v>283</v>
      </c>
      <c r="L98" s="61"/>
      <c r="M98" s="65"/>
      <c r="N98" s="62">
        <f>H98+365</f>
        <v>46380</v>
      </c>
      <c r="O98" s="61"/>
      <c r="P98" s="61"/>
      <c r="Q98" s="15"/>
      <c r="R98" s="15"/>
      <c r="S98" s="15"/>
      <c r="T98" s="52" t="s">
        <v>260</v>
      </c>
    </row>
    <row r="99" spans="1:20" s="4" customFormat="1" ht="13.2" x14ac:dyDescent="0.25">
      <c r="A99" s="26">
        <v>204692</v>
      </c>
      <c r="B99" s="10" t="s">
        <v>101</v>
      </c>
      <c r="C99" s="11">
        <v>45929</v>
      </c>
      <c r="D99" s="11">
        <v>45929</v>
      </c>
      <c r="E99" s="10" t="s">
        <v>148</v>
      </c>
      <c r="F99" s="111" t="s">
        <v>310</v>
      </c>
      <c r="G99" s="12"/>
      <c r="H99" s="43">
        <f t="shared" si="4"/>
        <v>46019</v>
      </c>
      <c r="I99" s="15" t="s">
        <v>157</v>
      </c>
      <c r="J99" s="42"/>
      <c r="K99" s="43"/>
      <c r="L99" s="15"/>
      <c r="M99" s="42"/>
      <c r="N99" s="43">
        <f>H99+365</f>
        <v>46384</v>
      </c>
      <c r="O99" s="15"/>
      <c r="P99" s="15"/>
      <c r="Q99" s="43">
        <f>N99+365</f>
        <v>46749</v>
      </c>
      <c r="R99" s="15"/>
      <c r="S99" s="15"/>
      <c r="T99" s="52" t="s">
        <v>256</v>
      </c>
    </row>
    <row r="100" spans="1:20" s="4" customFormat="1" ht="13.2" x14ac:dyDescent="0.25">
      <c r="A100" s="26">
        <v>204693</v>
      </c>
      <c r="B100" s="10" t="s">
        <v>102</v>
      </c>
      <c r="C100" s="11">
        <v>45929</v>
      </c>
      <c r="D100" s="11">
        <v>45929</v>
      </c>
      <c r="E100" s="10" t="s">
        <v>148</v>
      </c>
      <c r="F100" s="111" t="s">
        <v>310</v>
      </c>
      <c r="G100" s="12"/>
      <c r="H100" s="43">
        <f t="shared" si="4"/>
        <v>46019</v>
      </c>
      <c r="I100" s="15" t="s">
        <v>157</v>
      </c>
      <c r="J100" s="42"/>
      <c r="K100" s="43"/>
      <c r="L100" s="15"/>
      <c r="M100" s="42"/>
      <c r="N100" s="43">
        <f>H100+365</f>
        <v>46384</v>
      </c>
      <c r="O100" s="15"/>
      <c r="P100" s="15"/>
      <c r="Q100" s="43">
        <f>N100+365</f>
        <v>46749</v>
      </c>
      <c r="R100" s="15"/>
      <c r="S100" s="15"/>
      <c r="T100" s="52" t="s">
        <v>256</v>
      </c>
    </row>
    <row r="101" spans="1:20" s="55" customFormat="1" ht="14.4" customHeight="1" x14ac:dyDescent="0.25">
      <c r="A101" s="54">
        <v>204708</v>
      </c>
      <c r="B101" s="46" t="s">
        <v>103</v>
      </c>
      <c r="C101" s="51">
        <v>45936</v>
      </c>
      <c r="D101" s="51">
        <v>45936</v>
      </c>
      <c r="E101" s="46" t="s">
        <v>155</v>
      </c>
      <c r="F101" s="111" t="s">
        <v>310</v>
      </c>
      <c r="G101" s="48" t="s">
        <v>244</v>
      </c>
      <c r="H101" s="49" t="s">
        <v>244</v>
      </c>
      <c r="I101" s="15"/>
      <c r="J101" s="50" t="s">
        <v>244</v>
      </c>
      <c r="K101" s="49" t="s">
        <v>244</v>
      </c>
      <c r="L101" s="15"/>
      <c r="M101" s="50" t="s">
        <v>244</v>
      </c>
      <c r="N101" s="49" t="s">
        <v>244</v>
      </c>
      <c r="O101" s="15"/>
      <c r="P101" s="49" t="s">
        <v>244</v>
      </c>
      <c r="Q101" s="49" t="s">
        <v>244</v>
      </c>
      <c r="R101" s="15"/>
      <c r="S101" s="15"/>
      <c r="T101" s="58" t="s">
        <v>313</v>
      </c>
    </row>
    <row r="102" spans="1:20" s="4" customFormat="1" ht="12.75" customHeight="1" x14ac:dyDescent="0.25">
      <c r="A102" s="26">
        <v>204752</v>
      </c>
      <c r="B102" s="10" t="s">
        <v>105</v>
      </c>
      <c r="C102" s="11">
        <v>45974</v>
      </c>
      <c r="D102" s="11">
        <v>45974</v>
      </c>
      <c r="E102" s="10" t="s">
        <v>149</v>
      </c>
      <c r="F102" s="41" t="s">
        <v>271</v>
      </c>
      <c r="G102" s="41"/>
      <c r="H102" s="64">
        <f t="shared" si="4"/>
        <v>46064</v>
      </c>
      <c r="I102" s="15"/>
      <c r="J102" s="65"/>
      <c r="K102" s="64"/>
      <c r="L102" s="61" t="s">
        <v>190</v>
      </c>
      <c r="M102" s="65"/>
      <c r="N102" s="64"/>
      <c r="O102" s="61"/>
      <c r="P102" s="61"/>
      <c r="Q102" s="43">
        <f>H102+365</f>
        <v>46429</v>
      </c>
      <c r="R102" s="15"/>
      <c r="S102" s="15"/>
      <c r="T102" s="2" t="s">
        <v>256</v>
      </c>
    </row>
    <row r="103" spans="1:20" s="4" customFormat="1" ht="13.2" x14ac:dyDescent="0.25">
      <c r="A103" s="26">
        <v>204793</v>
      </c>
      <c r="B103" s="10" t="s">
        <v>106</v>
      </c>
      <c r="C103" s="16">
        <v>46013</v>
      </c>
      <c r="D103" s="16">
        <v>46013</v>
      </c>
      <c r="E103" s="10" t="s">
        <v>145</v>
      </c>
      <c r="F103" s="111" t="s">
        <v>280</v>
      </c>
      <c r="G103" s="85"/>
      <c r="H103" s="64">
        <f t="shared" si="4"/>
        <v>46103</v>
      </c>
      <c r="I103" s="15"/>
      <c r="J103" s="80">
        <v>46101</v>
      </c>
      <c r="K103" s="64" t="s">
        <v>283</v>
      </c>
      <c r="L103" s="61"/>
      <c r="M103" s="65"/>
      <c r="N103" s="64" t="s">
        <v>283</v>
      </c>
      <c r="O103" s="61"/>
      <c r="P103" s="61"/>
      <c r="Q103" s="43">
        <f t="shared" ref="Q103:Q133" si="5">H103+365</f>
        <v>46468</v>
      </c>
      <c r="R103" s="15"/>
      <c r="S103" s="15"/>
      <c r="T103" s="52" t="s">
        <v>284</v>
      </c>
    </row>
    <row r="104" spans="1:20" s="4" customFormat="1" ht="13.2" x14ac:dyDescent="0.25">
      <c r="A104" s="26">
        <v>204798</v>
      </c>
      <c r="B104" s="10" t="s">
        <v>160</v>
      </c>
      <c r="C104" s="16">
        <v>46027</v>
      </c>
      <c r="D104" s="16">
        <v>46027</v>
      </c>
      <c r="E104" s="10" t="s">
        <v>181</v>
      </c>
      <c r="F104" s="111" t="s">
        <v>280</v>
      </c>
      <c r="G104" s="85"/>
      <c r="H104" s="64">
        <f t="shared" si="4"/>
        <v>46117</v>
      </c>
      <c r="I104" s="15"/>
      <c r="J104" s="65"/>
      <c r="K104" s="64" t="s">
        <v>283</v>
      </c>
      <c r="L104" s="61"/>
      <c r="M104" s="65"/>
      <c r="N104" s="64" t="s">
        <v>283</v>
      </c>
      <c r="O104" s="61"/>
      <c r="P104" s="61"/>
      <c r="Q104" s="43">
        <f t="shared" si="5"/>
        <v>46482</v>
      </c>
      <c r="R104" s="15"/>
      <c r="S104" s="15"/>
      <c r="T104" s="52" t="s">
        <v>286</v>
      </c>
    </row>
    <row r="105" spans="1:20" s="55" customFormat="1" ht="16.95" customHeight="1" x14ac:dyDescent="0.25">
      <c r="A105" s="54">
        <v>101186</v>
      </c>
      <c r="B105" s="46" t="s">
        <v>161</v>
      </c>
      <c r="C105" s="51">
        <v>46028</v>
      </c>
      <c r="D105" s="51">
        <v>46028</v>
      </c>
      <c r="E105" s="46" t="s">
        <v>182</v>
      </c>
      <c r="F105" s="92" t="s">
        <v>324</v>
      </c>
      <c r="G105" s="92"/>
      <c r="H105" s="59">
        <f t="shared" si="4"/>
        <v>46118</v>
      </c>
      <c r="I105" s="61"/>
      <c r="J105" s="61"/>
      <c r="K105" s="59"/>
      <c r="L105" s="61"/>
      <c r="M105" s="61"/>
      <c r="N105" s="59"/>
      <c r="O105" s="61"/>
      <c r="P105" s="61"/>
      <c r="Q105" s="64">
        <f t="shared" si="5"/>
        <v>46483</v>
      </c>
      <c r="R105" s="61"/>
      <c r="S105" s="61"/>
      <c r="T105" s="30" t="s">
        <v>330</v>
      </c>
    </row>
    <row r="106" spans="1:20" s="4" customFormat="1" ht="15.6" customHeight="1" x14ac:dyDescent="0.25">
      <c r="A106" s="26">
        <v>101187</v>
      </c>
      <c r="B106" s="10" t="s">
        <v>162</v>
      </c>
      <c r="C106" s="16">
        <v>46034</v>
      </c>
      <c r="D106" s="16">
        <v>46034</v>
      </c>
      <c r="E106" s="10" t="s">
        <v>132</v>
      </c>
      <c r="F106" s="111" t="s">
        <v>280</v>
      </c>
      <c r="G106" s="82" t="s">
        <v>251</v>
      </c>
      <c r="H106" s="64">
        <f>D106+90</f>
        <v>46124</v>
      </c>
      <c r="I106" s="15" t="s">
        <v>194</v>
      </c>
      <c r="J106" s="79">
        <v>46122</v>
      </c>
      <c r="K106" s="64" t="s">
        <v>283</v>
      </c>
      <c r="L106" s="61"/>
      <c r="M106" s="65"/>
      <c r="N106" s="64" t="s">
        <v>283</v>
      </c>
      <c r="O106" s="61"/>
      <c r="P106" s="61"/>
      <c r="Q106" s="43">
        <f t="shared" si="5"/>
        <v>46489</v>
      </c>
      <c r="R106" s="15"/>
      <c r="S106" s="15"/>
      <c r="T106" s="52" t="s">
        <v>285</v>
      </c>
    </row>
    <row r="107" spans="1:20" s="4" customFormat="1" ht="15" customHeight="1" x14ac:dyDescent="0.25">
      <c r="A107" s="26">
        <v>101188</v>
      </c>
      <c r="B107" s="10" t="s">
        <v>163</v>
      </c>
      <c r="C107" s="11">
        <v>46041</v>
      </c>
      <c r="D107" s="11">
        <v>46041</v>
      </c>
      <c r="E107" s="10" t="s">
        <v>148</v>
      </c>
      <c r="F107" s="111" t="s">
        <v>310</v>
      </c>
      <c r="G107" s="12"/>
      <c r="H107" s="43">
        <f t="shared" si="4"/>
        <v>46131</v>
      </c>
      <c r="I107" s="15" t="s">
        <v>157</v>
      </c>
      <c r="J107" s="42"/>
      <c r="K107" s="43"/>
      <c r="L107" s="15"/>
      <c r="M107" s="42"/>
      <c r="N107" s="43"/>
      <c r="O107" s="15"/>
      <c r="P107" s="15"/>
      <c r="Q107" s="43">
        <f t="shared" si="5"/>
        <v>46496</v>
      </c>
      <c r="R107" s="15"/>
      <c r="S107" s="15"/>
      <c r="T107" s="52" t="s">
        <v>256</v>
      </c>
    </row>
    <row r="108" spans="1:20" s="4" customFormat="1" ht="13.5" customHeight="1" x14ac:dyDescent="0.25">
      <c r="A108" s="26">
        <v>101189</v>
      </c>
      <c r="B108" s="10" t="s">
        <v>164</v>
      </c>
      <c r="C108" s="11">
        <v>46042</v>
      </c>
      <c r="D108" s="11">
        <v>46042</v>
      </c>
      <c r="E108" s="10" t="s">
        <v>149</v>
      </c>
      <c r="F108" s="41" t="s">
        <v>271</v>
      </c>
      <c r="G108" s="41"/>
      <c r="H108" s="64">
        <f t="shared" si="4"/>
        <v>46132</v>
      </c>
      <c r="I108" s="15"/>
      <c r="J108" s="65"/>
      <c r="K108" s="64"/>
      <c r="L108" s="61" t="s">
        <v>190</v>
      </c>
      <c r="M108" s="65"/>
      <c r="N108" s="64"/>
      <c r="O108" s="61"/>
      <c r="P108" s="61"/>
      <c r="Q108" s="43">
        <f t="shared" si="5"/>
        <v>46497</v>
      </c>
      <c r="R108" s="15"/>
      <c r="S108" s="15"/>
      <c r="T108" s="2" t="s">
        <v>256</v>
      </c>
    </row>
    <row r="109" spans="1:20" s="4" customFormat="1" ht="13.2" x14ac:dyDescent="0.25">
      <c r="A109" s="26">
        <v>101190</v>
      </c>
      <c r="B109" s="10" t="s">
        <v>165</v>
      </c>
      <c r="C109" s="11">
        <v>46048</v>
      </c>
      <c r="D109" s="11">
        <v>46048</v>
      </c>
      <c r="E109" s="10" t="s">
        <v>148</v>
      </c>
      <c r="F109" s="111" t="s">
        <v>310</v>
      </c>
      <c r="G109" s="12"/>
      <c r="H109" s="43">
        <f t="shared" si="4"/>
        <v>46138</v>
      </c>
      <c r="I109" s="15"/>
      <c r="J109" s="42"/>
      <c r="K109" s="43"/>
      <c r="L109" s="15"/>
      <c r="M109" s="42"/>
      <c r="N109" s="43"/>
      <c r="O109" s="15"/>
      <c r="P109" s="15"/>
      <c r="Q109" s="43">
        <f t="shared" si="5"/>
        <v>46503</v>
      </c>
      <c r="R109" s="15"/>
      <c r="S109" s="15"/>
      <c r="T109" s="52" t="s">
        <v>308</v>
      </c>
    </row>
    <row r="110" spans="1:20" s="4" customFormat="1" ht="13.2" x14ac:dyDescent="0.25">
      <c r="A110" s="26">
        <v>101191</v>
      </c>
      <c r="B110" s="10" t="s">
        <v>166</v>
      </c>
      <c r="C110" s="11">
        <v>46048</v>
      </c>
      <c r="D110" s="11">
        <v>46048</v>
      </c>
      <c r="E110" s="10" t="s">
        <v>148</v>
      </c>
      <c r="F110" s="111" t="s">
        <v>310</v>
      </c>
      <c r="G110" s="12"/>
      <c r="H110" s="43">
        <f t="shared" si="4"/>
        <v>46138</v>
      </c>
      <c r="I110" s="15"/>
      <c r="J110" s="42"/>
      <c r="K110" s="43"/>
      <c r="L110" s="15"/>
      <c r="M110" s="42"/>
      <c r="N110" s="43"/>
      <c r="O110" s="15"/>
      <c r="P110" s="15"/>
      <c r="Q110" s="43">
        <f t="shared" si="5"/>
        <v>46503</v>
      </c>
      <c r="R110" s="15"/>
      <c r="S110" s="15"/>
      <c r="T110" s="52" t="s">
        <v>308</v>
      </c>
    </row>
    <row r="111" spans="1:20" s="4" customFormat="1" ht="12.75" customHeight="1" x14ac:dyDescent="0.25">
      <c r="A111" s="26">
        <v>101192</v>
      </c>
      <c r="B111" s="10" t="s">
        <v>167</v>
      </c>
      <c r="C111" s="11">
        <v>46062</v>
      </c>
      <c r="D111" s="11">
        <v>46062</v>
      </c>
      <c r="E111" s="10" t="s">
        <v>183</v>
      </c>
      <c r="F111" s="41" t="s">
        <v>271</v>
      </c>
      <c r="G111" s="41"/>
      <c r="H111" s="64">
        <f t="shared" si="4"/>
        <v>46152</v>
      </c>
      <c r="I111" s="15"/>
      <c r="J111" s="65"/>
      <c r="K111" s="64"/>
      <c r="L111" s="61" t="s">
        <v>190</v>
      </c>
      <c r="M111" s="65"/>
      <c r="N111" s="64"/>
      <c r="O111" s="61"/>
      <c r="P111" s="61"/>
      <c r="Q111" s="43">
        <f t="shared" si="5"/>
        <v>46517</v>
      </c>
      <c r="R111" s="15"/>
      <c r="S111" s="15"/>
      <c r="T111" s="2" t="s">
        <v>256</v>
      </c>
    </row>
    <row r="112" spans="1:20" s="4" customFormat="1" ht="14.25" customHeight="1" x14ac:dyDescent="0.25">
      <c r="A112" s="26">
        <v>101193</v>
      </c>
      <c r="B112" s="10" t="s">
        <v>168</v>
      </c>
      <c r="C112" s="11">
        <v>46062</v>
      </c>
      <c r="D112" s="11">
        <v>46062</v>
      </c>
      <c r="E112" s="10" t="s">
        <v>154</v>
      </c>
      <c r="F112" s="41" t="s">
        <v>324</v>
      </c>
      <c r="G112" s="41"/>
      <c r="H112" s="64">
        <f t="shared" si="4"/>
        <v>46152</v>
      </c>
      <c r="I112" s="61" t="s">
        <v>190</v>
      </c>
      <c r="J112" s="65"/>
      <c r="K112" s="64"/>
      <c r="L112" s="61"/>
      <c r="M112" s="65"/>
      <c r="N112" s="64"/>
      <c r="O112" s="61"/>
      <c r="P112" s="61"/>
      <c r="Q112" s="64">
        <f t="shared" si="5"/>
        <v>46517</v>
      </c>
      <c r="R112" s="61"/>
      <c r="S112" s="61"/>
      <c r="T112" s="52" t="s">
        <v>325</v>
      </c>
    </row>
    <row r="113" spans="1:20" s="4" customFormat="1" ht="16.5" customHeight="1" x14ac:dyDescent="0.25">
      <c r="A113" s="26">
        <v>101194</v>
      </c>
      <c r="B113" s="10" t="s">
        <v>169</v>
      </c>
      <c r="C113" s="16">
        <v>46069</v>
      </c>
      <c r="D113" s="16">
        <v>46069</v>
      </c>
      <c r="E113" s="10" t="s">
        <v>145</v>
      </c>
      <c r="F113" s="111" t="s">
        <v>280</v>
      </c>
      <c r="G113" s="85"/>
      <c r="H113" s="64">
        <f t="shared" si="4"/>
        <v>46159</v>
      </c>
      <c r="I113" s="15"/>
      <c r="J113" s="65"/>
      <c r="K113" s="64" t="s">
        <v>283</v>
      </c>
      <c r="L113" s="61"/>
      <c r="M113" s="65"/>
      <c r="N113" s="64" t="s">
        <v>283</v>
      </c>
      <c r="O113" s="61"/>
      <c r="P113" s="61"/>
      <c r="Q113" s="43">
        <f t="shared" si="5"/>
        <v>46524</v>
      </c>
      <c r="R113" s="15"/>
      <c r="S113" s="15"/>
      <c r="T113" s="52" t="s">
        <v>286</v>
      </c>
    </row>
    <row r="114" spans="1:20" s="4" customFormat="1" ht="16.5" customHeight="1" x14ac:dyDescent="0.25">
      <c r="A114" s="26">
        <v>101195</v>
      </c>
      <c r="B114" s="10" t="s">
        <v>170</v>
      </c>
      <c r="C114" s="11">
        <v>46083</v>
      </c>
      <c r="D114" s="11">
        <v>46083</v>
      </c>
      <c r="E114" s="10" t="s">
        <v>130</v>
      </c>
      <c r="F114" s="111" t="s">
        <v>306</v>
      </c>
      <c r="G114" s="85"/>
      <c r="H114" s="64">
        <f t="shared" si="4"/>
        <v>46173</v>
      </c>
      <c r="I114" s="61" t="s">
        <v>157</v>
      </c>
      <c r="J114" s="65"/>
      <c r="K114" s="64"/>
      <c r="L114" s="61"/>
      <c r="M114" s="65"/>
      <c r="N114" s="64"/>
      <c r="O114" s="61"/>
      <c r="P114" s="61"/>
      <c r="Q114" s="43">
        <f t="shared" si="5"/>
        <v>46538</v>
      </c>
      <c r="R114" s="15"/>
      <c r="S114" s="15"/>
      <c r="T114" s="52" t="s">
        <v>256</v>
      </c>
    </row>
    <row r="115" spans="1:20" s="55" customFormat="1" ht="14.25" customHeight="1" x14ac:dyDescent="0.25">
      <c r="A115" s="54">
        <v>101196</v>
      </c>
      <c r="B115" s="46" t="s">
        <v>171</v>
      </c>
      <c r="C115" s="51">
        <v>46083</v>
      </c>
      <c r="D115" s="51">
        <v>46083</v>
      </c>
      <c r="E115" s="46" t="s">
        <v>184</v>
      </c>
      <c r="F115" s="92" t="s">
        <v>156</v>
      </c>
      <c r="G115" s="48" t="s">
        <v>244</v>
      </c>
      <c r="H115" s="14">
        <f t="shared" si="4"/>
        <v>46173</v>
      </c>
      <c r="I115" s="15"/>
      <c r="J115" s="48" t="s">
        <v>244</v>
      </c>
      <c r="K115" s="48" t="s">
        <v>244</v>
      </c>
      <c r="L115" s="15"/>
      <c r="M115" s="48" t="s">
        <v>244</v>
      </c>
      <c r="N115" s="48" t="s">
        <v>244</v>
      </c>
      <c r="O115" s="15"/>
      <c r="P115" s="49" t="s">
        <v>244</v>
      </c>
      <c r="Q115" s="49" t="s">
        <v>244</v>
      </c>
      <c r="R115" s="15"/>
      <c r="S115" s="15"/>
      <c r="T115" s="58" t="s">
        <v>313</v>
      </c>
    </row>
    <row r="116" spans="1:20" s="4" customFormat="1" ht="13.2" x14ac:dyDescent="0.25">
      <c r="A116" s="26">
        <v>204709</v>
      </c>
      <c r="B116" s="10" t="s">
        <v>104</v>
      </c>
      <c r="C116" s="11">
        <v>46083</v>
      </c>
      <c r="D116" s="11">
        <v>46083</v>
      </c>
      <c r="E116" s="10" t="s">
        <v>148</v>
      </c>
      <c r="F116" s="111" t="s">
        <v>310</v>
      </c>
      <c r="G116" s="12"/>
      <c r="H116" s="43">
        <f t="shared" si="4"/>
        <v>46173</v>
      </c>
      <c r="I116" s="15"/>
      <c r="J116" s="42"/>
      <c r="K116" s="43"/>
      <c r="L116" s="15"/>
      <c r="M116" s="42"/>
      <c r="N116" s="43"/>
      <c r="O116" s="15"/>
      <c r="P116" s="15"/>
      <c r="Q116" s="43">
        <f t="shared" si="5"/>
        <v>46538</v>
      </c>
      <c r="R116" s="15"/>
      <c r="S116" s="15"/>
      <c r="T116" s="52" t="s">
        <v>308</v>
      </c>
    </row>
    <row r="117" spans="1:20" s="55" customFormat="1" ht="16.95" customHeight="1" x14ac:dyDescent="0.25">
      <c r="A117" s="54">
        <v>101197</v>
      </c>
      <c r="B117" s="46" t="s">
        <v>172</v>
      </c>
      <c r="C117" s="51">
        <v>46091</v>
      </c>
      <c r="D117" s="51">
        <v>46091</v>
      </c>
      <c r="E117" s="46" t="s">
        <v>151</v>
      </c>
      <c r="F117" s="111" t="s">
        <v>310</v>
      </c>
      <c r="G117" s="47"/>
      <c r="H117" s="14">
        <v>46111</v>
      </c>
      <c r="I117" s="15"/>
      <c r="J117" s="15"/>
      <c r="K117" s="14"/>
      <c r="L117" s="15"/>
      <c r="M117" s="15"/>
      <c r="N117" s="14"/>
      <c r="O117" s="15"/>
      <c r="P117" s="49" t="s">
        <v>244</v>
      </c>
      <c r="Q117" s="49" t="s">
        <v>244</v>
      </c>
      <c r="R117" s="15"/>
      <c r="S117" s="15"/>
      <c r="T117" s="52" t="s">
        <v>308</v>
      </c>
    </row>
    <row r="118" spans="1:20" s="4" customFormat="1" ht="15.75" customHeight="1" x14ac:dyDescent="0.25">
      <c r="A118" s="26">
        <v>101198</v>
      </c>
      <c r="B118" s="10" t="s">
        <v>173</v>
      </c>
      <c r="C118" s="11">
        <v>46100</v>
      </c>
      <c r="D118" s="11">
        <v>46100</v>
      </c>
      <c r="E118" s="10" t="s">
        <v>147</v>
      </c>
      <c r="F118" s="41" t="s">
        <v>323</v>
      </c>
      <c r="G118" s="12"/>
      <c r="H118" s="43">
        <f>D118+90</f>
        <v>46190</v>
      </c>
      <c r="I118" s="15"/>
      <c r="J118" s="42"/>
      <c r="K118" s="43"/>
      <c r="L118" s="15"/>
      <c r="M118" s="42"/>
      <c r="N118" s="43"/>
      <c r="O118" s="15"/>
      <c r="P118" s="15"/>
      <c r="Q118" s="43">
        <f t="shared" si="5"/>
        <v>46555</v>
      </c>
      <c r="R118" s="15"/>
      <c r="S118" s="15"/>
      <c r="T118" s="52" t="s">
        <v>256</v>
      </c>
    </row>
    <row r="119" spans="1:20" s="4" customFormat="1" ht="13.2" x14ac:dyDescent="0.25">
      <c r="A119" s="26">
        <v>101199</v>
      </c>
      <c r="B119" s="10" t="s">
        <v>174</v>
      </c>
      <c r="C119" s="11">
        <v>46133</v>
      </c>
      <c r="D119" s="16">
        <v>46133</v>
      </c>
      <c r="E119" s="10" t="s">
        <v>185</v>
      </c>
      <c r="F119" s="111" t="s">
        <v>292</v>
      </c>
      <c r="G119" s="41"/>
      <c r="H119" s="64">
        <f t="shared" ref="H119:H133" si="6">D119+90</f>
        <v>46223</v>
      </c>
      <c r="I119" s="61"/>
      <c r="J119" s="65"/>
      <c r="K119" s="64" t="s">
        <v>283</v>
      </c>
      <c r="L119" s="61"/>
      <c r="M119" s="64" t="s">
        <v>283</v>
      </c>
      <c r="N119" s="64"/>
      <c r="O119" s="61"/>
      <c r="P119" s="61"/>
      <c r="Q119" s="43">
        <f t="shared" si="5"/>
        <v>46588</v>
      </c>
      <c r="R119" s="15"/>
      <c r="S119" s="15"/>
      <c r="T119" s="52"/>
    </row>
    <row r="120" spans="1:20" s="4" customFormat="1" ht="13.2" x14ac:dyDescent="0.25">
      <c r="A120" s="26">
        <v>101200</v>
      </c>
      <c r="B120" s="10" t="s">
        <v>175</v>
      </c>
      <c r="C120" s="11">
        <v>46133</v>
      </c>
      <c r="D120" s="16">
        <v>46133</v>
      </c>
      <c r="E120" s="10" t="s">
        <v>133</v>
      </c>
      <c r="F120" s="111" t="s">
        <v>292</v>
      </c>
      <c r="G120" s="41"/>
      <c r="H120" s="64">
        <f t="shared" si="6"/>
        <v>46223</v>
      </c>
      <c r="I120" s="61"/>
      <c r="J120" s="65"/>
      <c r="K120" s="64" t="s">
        <v>283</v>
      </c>
      <c r="L120" s="61"/>
      <c r="M120" s="64" t="s">
        <v>283</v>
      </c>
      <c r="N120" s="64"/>
      <c r="O120" s="61"/>
      <c r="P120" s="61"/>
      <c r="Q120" s="43">
        <f t="shared" si="5"/>
        <v>46588</v>
      </c>
      <c r="R120" s="15"/>
      <c r="S120" s="15"/>
      <c r="T120" s="52"/>
    </row>
    <row r="121" spans="1:20" s="4" customFormat="1" ht="13.2" x14ac:dyDescent="0.25">
      <c r="A121" s="26">
        <v>101201</v>
      </c>
      <c r="B121" s="10" t="s">
        <v>176</v>
      </c>
      <c r="C121" s="11">
        <v>46133</v>
      </c>
      <c r="D121" s="16">
        <v>46133</v>
      </c>
      <c r="E121" s="10" t="s">
        <v>185</v>
      </c>
      <c r="F121" s="111" t="s">
        <v>292</v>
      </c>
      <c r="G121" s="41"/>
      <c r="H121" s="64">
        <f t="shared" si="6"/>
        <v>46223</v>
      </c>
      <c r="I121" s="61"/>
      <c r="J121" s="65"/>
      <c r="K121" s="64" t="s">
        <v>283</v>
      </c>
      <c r="L121" s="61"/>
      <c r="M121" s="64" t="s">
        <v>283</v>
      </c>
      <c r="N121" s="64"/>
      <c r="O121" s="61"/>
      <c r="P121" s="61"/>
      <c r="Q121" s="43">
        <f t="shared" si="5"/>
        <v>46588</v>
      </c>
      <c r="R121" s="15"/>
      <c r="S121" s="15"/>
      <c r="T121" s="52"/>
    </row>
    <row r="122" spans="1:20" s="4" customFormat="1" ht="13.2" x14ac:dyDescent="0.25">
      <c r="A122" s="26">
        <v>101202</v>
      </c>
      <c r="B122" s="10" t="s">
        <v>177</v>
      </c>
      <c r="C122" s="11">
        <v>46133</v>
      </c>
      <c r="D122" s="16">
        <v>46133</v>
      </c>
      <c r="E122" s="10" t="s">
        <v>185</v>
      </c>
      <c r="F122" s="111" t="s">
        <v>292</v>
      </c>
      <c r="G122" s="41"/>
      <c r="H122" s="64">
        <f t="shared" si="6"/>
        <v>46223</v>
      </c>
      <c r="I122" s="61"/>
      <c r="J122" s="65"/>
      <c r="K122" s="64" t="s">
        <v>283</v>
      </c>
      <c r="L122" s="61"/>
      <c r="M122" s="64" t="s">
        <v>283</v>
      </c>
      <c r="N122" s="64"/>
      <c r="O122" s="61"/>
      <c r="P122" s="61"/>
      <c r="Q122" s="43">
        <f t="shared" si="5"/>
        <v>46588</v>
      </c>
      <c r="R122" s="15"/>
      <c r="S122" s="15"/>
      <c r="T122" s="52"/>
    </row>
    <row r="123" spans="1:20" s="4" customFormat="1" ht="13.2" x14ac:dyDescent="0.25">
      <c r="A123" s="26">
        <v>101203</v>
      </c>
      <c r="B123" s="10" t="s">
        <v>178</v>
      </c>
      <c r="C123" s="11">
        <v>46133</v>
      </c>
      <c r="D123" s="16">
        <v>46133</v>
      </c>
      <c r="E123" s="10" t="s">
        <v>185</v>
      </c>
      <c r="F123" s="111" t="s">
        <v>292</v>
      </c>
      <c r="G123" s="41"/>
      <c r="H123" s="64">
        <f t="shared" si="6"/>
        <v>46223</v>
      </c>
      <c r="I123" s="61"/>
      <c r="J123" s="65"/>
      <c r="K123" s="64" t="s">
        <v>283</v>
      </c>
      <c r="L123" s="61"/>
      <c r="M123" s="64" t="s">
        <v>283</v>
      </c>
      <c r="N123" s="64"/>
      <c r="O123" s="61"/>
      <c r="P123" s="61"/>
      <c r="Q123" s="43">
        <f t="shared" si="5"/>
        <v>46588</v>
      </c>
      <c r="R123" s="15"/>
      <c r="S123" s="15"/>
      <c r="T123" s="52"/>
    </row>
    <row r="124" spans="1:20" s="4" customFormat="1" ht="13.2" x14ac:dyDescent="0.25">
      <c r="A124" s="26">
        <v>101204</v>
      </c>
      <c r="B124" s="10" t="s">
        <v>179</v>
      </c>
      <c r="C124" s="11">
        <v>46133</v>
      </c>
      <c r="D124" s="16">
        <v>46133</v>
      </c>
      <c r="E124" s="10" t="s">
        <v>185</v>
      </c>
      <c r="F124" s="111" t="s">
        <v>292</v>
      </c>
      <c r="G124" s="41"/>
      <c r="H124" s="64">
        <f t="shared" si="6"/>
        <v>46223</v>
      </c>
      <c r="I124" s="61"/>
      <c r="J124" s="65"/>
      <c r="K124" s="64" t="s">
        <v>283</v>
      </c>
      <c r="L124" s="61"/>
      <c r="M124" s="64" t="s">
        <v>283</v>
      </c>
      <c r="N124" s="64"/>
      <c r="O124" s="61"/>
      <c r="P124" s="61"/>
      <c r="Q124" s="43">
        <f t="shared" si="5"/>
        <v>46588</v>
      </c>
      <c r="R124" s="15"/>
      <c r="S124" s="15"/>
      <c r="T124" s="52"/>
    </row>
    <row r="125" spans="1:20" s="4" customFormat="1" ht="16.5" customHeight="1" x14ac:dyDescent="0.25">
      <c r="A125" s="26">
        <v>101205</v>
      </c>
      <c r="B125" s="10" t="s">
        <v>180</v>
      </c>
      <c r="C125" s="11">
        <v>46139</v>
      </c>
      <c r="D125" s="11">
        <v>46139</v>
      </c>
      <c r="E125" s="10" t="s">
        <v>107</v>
      </c>
      <c r="F125" s="111" t="s">
        <v>320</v>
      </c>
      <c r="G125" s="105"/>
      <c r="H125" s="64">
        <f t="shared" si="6"/>
        <v>46229</v>
      </c>
      <c r="I125" s="61"/>
      <c r="J125" s="65"/>
      <c r="K125" s="64"/>
      <c r="L125" s="61"/>
      <c r="M125" s="65"/>
      <c r="N125" s="64"/>
      <c r="O125" s="61"/>
      <c r="P125" s="61"/>
      <c r="Q125" s="64">
        <f t="shared" si="5"/>
        <v>46594</v>
      </c>
      <c r="R125" s="61"/>
      <c r="S125" s="61"/>
      <c r="T125" s="52" t="s">
        <v>322</v>
      </c>
    </row>
    <row r="126" spans="1:20" s="4" customFormat="1" ht="15" customHeight="1" x14ac:dyDescent="0.25">
      <c r="A126" s="26">
        <v>101126</v>
      </c>
      <c r="B126" s="10" t="s">
        <v>261</v>
      </c>
      <c r="C126" s="16">
        <v>46174</v>
      </c>
      <c r="D126" s="16">
        <v>46174</v>
      </c>
      <c r="E126" s="10" t="s">
        <v>132</v>
      </c>
      <c r="F126" s="111" t="s">
        <v>280</v>
      </c>
      <c r="G126" s="41"/>
      <c r="H126" s="64">
        <f t="shared" si="6"/>
        <v>46264</v>
      </c>
      <c r="I126" s="15"/>
      <c r="J126" s="65"/>
      <c r="K126" s="64" t="s">
        <v>283</v>
      </c>
      <c r="L126" s="61"/>
      <c r="M126" s="65"/>
      <c r="N126" s="64" t="s">
        <v>283</v>
      </c>
      <c r="O126" s="61"/>
      <c r="P126" s="61"/>
      <c r="Q126" s="43">
        <f t="shared" si="5"/>
        <v>46629</v>
      </c>
      <c r="R126" s="15"/>
      <c r="S126" s="15"/>
      <c r="T126" s="52"/>
    </row>
    <row r="127" spans="1:20" s="4" customFormat="1" ht="13.2" x14ac:dyDescent="0.25">
      <c r="A127" s="26">
        <v>101206</v>
      </c>
      <c r="B127" s="10" t="s">
        <v>262</v>
      </c>
      <c r="C127" s="11">
        <v>46174</v>
      </c>
      <c r="D127" s="16">
        <v>46174</v>
      </c>
      <c r="E127" s="10" t="s">
        <v>185</v>
      </c>
      <c r="F127" s="111" t="s">
        <v>292</v>
      </c>
      <c r="G127" s="41"/>
      <c r="H127" s="64">
        <f t="shared" si="6"/>
        <v>46264</v>
      </c>
      <c r="I127" s="61"/>
      <c r="J127" s="65"/>
      <c r="K127" s="64" t="s">
        <v>283</v>
      </c>
      <c r="L127" s="61"/>
      <c r="M127" s="64" t="s">
        <v>283</v>
      </c>
      <c r="N127" s="64"/>
      <c r="O127" s="61"/>
      <c r="P127" s="61"/>
      <c r="Q127" s="43">
        <f t="shared" si="5"/>
        <v>46629</v>
      </c>
      <c r="R127" s="15"/>
      <c r="S127" s="15"/>
      <c r="T127" s="52"/>
    </row>
    <row r="128" spans="1:20" s="4" customFormat="1" ht="13.2" x14ac:dyDescent="0.25">
      <c r="A128" s="26">
        <v>101207</v>
      </c>
      <c r="B128" s="10" t="s">
        <v>263</v>
      </c>
      <c r="C128" s="11">
        <v>46174</v>
      </c>
      <c r="D128" s="16">
        <v>46174</v>
      </c>
      <c r="E128" s="10" t="s">
        <v>185</v>
      </c>
      <c r="F128" s="111" t="s">
        <v>292</v>
      </c>
      <c r="G128" s="41"/>
      <c r="H128" s="64">
        <f t="shared" si="6"/>
        <v>46264</v>
      </c>
      <c r="I128" s="61"/>
      <c r="J128" s="65"/>
      <c r="K128" s="64" t="s">
        <v>283</v>
      </c>
      <c r="L128" s="61"/>
      <c r="M128" s="64" t="s">
        <v>283</v>
      </c>
      <c r="N128" s="64"/>
      <c r="O128" s="61"/>
      <c r="P128" s="61"/>
      <c r="Q128" s="43">
        <f t="shared" si="5"/>
        <v>46629</v>
      </c>
      <c r="R128" s="15"/>
      <c r="S128" s="15"/>
      <c r="T128" s="52"/>
    </row>
    <row r="129" spans="1:20" s="4" customFormat="1" ht="13.2" x14ac:dyDescent="0.25">
      <c r="A129" s="26">
        <v>101208</v>
      </c>
      <c r="B129" s="10" t="s">
        <v>264</v>
      </c>
      <c r="C129" s="11">
        <v>46174</v>
      </c>
      <c r="D129" s="16">
        <v>46174</v>
      </c>
      <c r="E129" s="10" t="s">
        <v>185</v>
      </c>
      <c r="F129" s="111" t="s">
        <v>292</v>
      </c>
      <c r="G129" s="41"/>
      <c r="H129" s="64">
        <f t="shared" si="6"/>
        <v>46264</v>
      </c>
      <c r="I129" s="61"/>
      <c r="J129" s="65"/>
      <c r="K129" s="64" t="s">
        <v>283</v>
      </c>
      <c r="L129" s="61"/>
      <c r="M129" s="64" t="s">
        <v>283</v>
      </c>
      <c r="N129" s="64"/>
      <c r="O129" s="61"/>
      <c r="P129" s="61"/>
      <c r="Q129" s="43">
        <f t="shared" si="5"/>
        <v>46629</v>
      </c>
      <c r="R129" s="15"/>
      <c r="S129" s="15"/>
      <c r="T129" s="52"/>
    </row>
    <row r="130" spans="1:20" s="4" customFormat="1" ht="13.2" x14ac:dyDescent="0.25">
      <c r="A130" s="26">
        <v>101209</v>
      </c>
      <c r="B130" s="10" t="s">
        <v>265</v>
      </c>
      <c r="C130" s="11">
        <v>46174</v>
      </c>
      <c r="D130" s="16">
        <v>46174</v>
      </c>
      <c r="E130" s="10" t="s">
        <v>185</v>
      </c>
      <c r="F130" s="111" t="s">
        <v>292</v>
      </c>
      <c r="G130" s="41"/>
      <c r="H130" s="64">
        <f t="shared" si="6"/>
        <v>46264</v>
      </c>
      <c r="I130" s="61"/>
      <c r="J130" s="65"/>
      <c r="K130" s="64" t="s">
        <v>283</v>
      </c>
      <c r="L130" s="61"/>
      <c r="M130" s="64" t="s">
        <v>283</v>
      </c>
      <c r="N130" s="64"/>
      <c r="O130" s="61"/>
      <c r="P130" s="61"/>
      <c r="Q130" s="43">
        <f t="shared" si="5"/>
        <v>46629</v>
      </c>
      <c r="R130" s="15"/>
      <c r="S130" s="15"/>
      <c r="T130" s="52"/>
    </row>
    <row r="131" spans="1:20" s="4" customFormat="1" ht="13.2" x14ac:dyDescent="0.25">
      <c r="A131" s="26">
        <v>101210</v>
      </c>
      <c r="B131" s="10" t="s">
        <v>266</v>
      </c>
      <c r="C131" s="11">
        <v>46174</v>
      </c>
      <c r="D131" s="16">
        <v>46174</v>
      </c>
      <c r="E131" s="10" t="s">
        <v>185</v>
      </c>
      <c r="F131" s="111" t="s">
        <v>292</v>
      </c>
      <c r="G131" s="41"/>
      <c r="H131" s="64">
        <f t="shared" si="6"/>
        <v>46264</v>
      </c>
      <c r="I131" s="61"/>
      <c r="J131" s="65"/>
      <c r="K131" s="64" t="s">
        <v>283</v>
      </c>
      <c r="L131" s="61"/>
      <c r="M131" s="64" t="s">
        <v>283</v>
      </c>
      <c r="N131" s="64"/>
      <c r="O131" s="61"/>
      <c r="P131" s="61"/>
      <c r="Q131" s="43">
        <f t="shared" si="5"/>
        <v>46629</v>
      </c>
      <c r="R131" s="15"/>
      <c r="S131" s="15"/>
      <c r="T131" s="52"/>
    </row>
    <row r="132" spans="1:20" s="4" customFormat="1" ht="17.25" customHeight="1" x14ac:dyDescent="0.25">
      <c r="A132" s="26">
        <v>101211</v>
      </c>
      <c r="B132" s="10" t="s">
        <v>267</v>
      </c>
      <c r="C132" s="11">
        <v>46174</v>
      </c>
      <c r="D132" s="16">
        <v>46174</v>
      </c>
      <c r="E132" s="10" t="s">
        <v>185</v>
      </c>
      <c r="F132" s="111" t="s">
        <v>292</v>
      </c>
      <c r="G132" s="41"/>
      <c r="H132" s="64">
        <f t="shared" si="6"/>
        <v>46264</v>
      </c>
      <c r="I132" s="61"/>
      <c r="J132" s="65"/>
      <c r="K132" s="64" t="s">
        <v>283</v>
      </c>
      <c r="L132" s="61"/>
      <c r="M132" s="64" t="s">
        <v>283</v>
      </c>
      <c r="N132" s="64"/>
      <c r="O132" s="61"/>
      <c r="P132" s="61"/>
      <c r="Q132" s="43">
        <f t="shared" si="5"/>
        <v>46629</v>
      </c>
      <c r="R132" s="15"/>
      <c r="S132" s="15"/>
      <c r="T132" s="52"/>
    </row>
    <row r="133" spans="1:20" x14ac:dyDescent="0.3">
      <c r="A133" s="95">
        <v>100988</v>
      </c>
      <c r="B133" s="94" t="s">
        <v>268</v>
      </c>
      <c r="C133" s="11">
        <v>46191</v>
      </c>
      <c r="D133" s="16">
        <v>46191</v>
      </c>
      <c r="E133" s="108" t="s">
        <v>269</v>
      </c>
      <c r="F133" s="111" t="s">
        <v>292</v>
      </c>
      <c r="G133" s="95"/>
      <c r="H133" s="64">
        <f t="shared" si="6"/>
        <v>46281</v>
      </c>
      <c r="I133" s="95"/>
      <c r="J133" s="95"/>
      <c r="K133" s="64" t="s">
        <v>283</v>
      </c>
      <c r="L133" s="61"/>
      <c r="M133" s="64" t="s">
        <v>283</v>
      </c>
      <c r="N133" s="95"/>
      <c r="O133" s="95"/>
      <c r="P133" s="95"/>
      <c r="Q133" s="43">
        <f t="shared" si="5"/>
        <v>46646</v>
      </c>
      <c r="R133" s="94"/>
      <c r="S133" s="94"/>
      <c r="T133" s="94"/>
    </row>
  </sheetData>
  <autoFilter ref="A7:T133" xr:uid="{6792B3EA-F85F-4C8F-88C2-154FF1AA3235}">
    <sortState xmlns:xlrd2="http://schemas.microsoft.com/office/spreadsheetml/2017/richdata2" ref="A8:T125">
      <sortCondition ref="C7:C125"/>
    </sortState>
  </autoFilter>
  <mergeCells count="2">
    <mergeCell ref="D4:T6"/>
    <mergeCell ref="A1:T3"/>
  </mergeCells>
  <conditionalFormatting sqref="I8:J8 I9 M9 I62:I90 I92:I96 I10:J12 I14:J17 I19:J61 I98:I111">
    <cfRule type="containsText" dxfId="131" priority="235" operator="containsText" text="P">
      <formula>NOT(ISERROR(SEARCH("P",I8)))</formula>
    </cfRule>
    <cfRule type="containsText" dxfId="130" priority="236" operator="containsText" text="V">
      <formula>NOT(ISERROR(SEARCH("V",I8)))</formula>
    </cfRule>
    <cfRule type="containsText" dxfId="129" priority="237" operator="containsText" text="E">
      <formula>NOT(ISERROR(SEARCH("E",I8)))</formula>
    </cfRule>
  </conditionalFormatting>
  <conditionalFormatting sqref="L62:L90 L92:L96 L8:M12 O62:Q73 O61:P61 O88:Q89 O87:P87 O91:Q92 O90:P90 O101 O99:P100 O24 O34:Q41 O33 O74 R80:S111 O80:Q86 O79 Q79:R79 O8:S8 Q24:R24 O25:S28 Q33:R33 R34:S73 O75:S78 Q74:R74 L14:M17 L19:M61 L98:L111 O10:S14 O9 R9:S9 O16:S18 O15 R15:S15 O20:S20 O19 R19:S19 O23:S23 O21:O22 O30:S32 O29 R29:S29 O94:Q95 O93 O97:Q98 O96 R21:S22 O44:Q60 O42:P43">
    <cfRule type="containsText" dxfId="128" priority="232" operator="containsText" text="P">
      <formula>NOT(ISERROR(SEARCH("P",L8)))</formula>
    </cfRule>
    <cfRule type="containsText" dxfId="127" priority="233" operator="containsText" text="E">
      <formula>NOT(ISERROR(SEARCH("E",L8)))</formula>
    </cfRule>
    <cfRule type="containsText" dxfId="126" priority="234" operator="containsText" text="V">
      <formula>NOT(ISERROR(SEARCH("V",L8)))</formula>
    </cfRule>
  </conditionalFormatting>
  <conditionalFormatting sqref="I112:I124">
    <cfRule type="containsText" dxfId="125" priority="214" operator="containsText" text="P">
      <formula>NOT(ISERROR(SEARCH("P",I112)))</formula>
    </cfRule>
    <cfRule type="containsText" dxfId="124" priority="215" operator="containsText" text="V">
      <formula>NOT(ISERROR(SEARCH("V",I112)))</formula>
    </cfRule>
    <cfRule type="containsText" dxfId="123" priority="216" operator="containsText" text="E">
      <formula>NOT(ISERROR(SEARCH("E",I112)))</formula>
    </cfRule>
  </conditionalFormatting>
  <conditionalFormatting sqref="L112:L118">
    <cfRule type="containsText" dxfId="122" priority="211" operator="containsText" text="P">
      <formula>NOT(ISERROR(SEARCH("P",L112)))</formula>
    </cfRule>
    <cfRule type="containsText" dxfId="121" priority="212" operator="containsText" text="E">
      <formula>NOT(ISERROR(SEARCH("E",L112)))</formula>
    </cfRule>
    <cfRule type="containsText" dxfId="120" priority="213" operator="containsText" text="V">
      <formula>NOT(ISERROR(SEARCH("V",L112)))</formula>
    </cfRule>
  </conditionalFormatting>
  <conditionalFormatting sqref="O102:P111">
    <cfRule type="containsText" dxfId="119" priority="208" operator="containsText" text="P">
      <formula>NOT(ISERROR(SEARCH("P",O102)))</formula>
    </cfRule>
    <cfRule type="containsText" dxfId="118" priority="209" operator="containsText" text="E">
      <formula>NOT(ISERROR(SEARCH("E",O102)))</formula>
    </cfRule>
    <cfRule type="containsText" dxfId="117" priority="210" operator="containsText" text="V">
      <formula>NOT(ISERROR(SEARCH("V",O102)))</formula>
    </cfRule>
  </conditionalFormatting>
  <conditionalFormatting sqref="S112:S124 O112:P114 O116:P116 O115 O118:P124 O117">
    <cfRule type="containsText" dxfId="116" priority="205" operator="containsText" text="P">
      <formula>NOT(ISERROR(SEARCH("P",O112)))</formula>
    </cfRule>
    <cfRule type="containsText" dxfId="115" priority="206" operator="containsText" text="E">
      <formula>NOT(ISERROR(SEARCH("E",O112)))</formula>
    </cfRule>
    <cfRule type="containsText" dxfId="114" priority="207" operator="containsText" text="V">
      <formula>NOT(ISERROR(SEARCH("V",O112)))</formula>
    </cfRule>
  </conditionalFormatting>
  <conditionalFormatting sqref="J62:J71 J73:J90 J92:J96 J116 J98:J114">
    <cfRule type="containsText" dxfId="113" priority="202" operator="containsText" text="P">
      <formula>NOT(ISERROR(SEARCH("P",J62)))</formula>
    </cfRule>
    <cfRule type="containsText" dxfId="112" priority="203" operator="containsText" text="E">
      <formula>NOT(ISERROR(SEARCH("E",J62)))</formula>
    </cfRule>
    <cfRule type="containsText" dxfId="111" priority="204" operator="containsText" text="V">
      <formula>NOT(ISERROR(SEARCH("V",J62)))</formula>
    </cfRule>
  </conditionalFormatting>
  <conditionalFormatting sqref="J117">
    <cfRule type="containsText" dxfId="110" priority="199" operator="containsText" text="P">
      <formula>NOT(ISERROR(SEARCH("P",J117)))</formula>
    </cfRule>
    <cfRule type="containsText" dxfId="109" priority="200" operator="containsText" text="E">
      <formula>NOT(ISERROR(SEARCH("E",J117)))</formula>
    </cfRule>
    <cfRule type="containsText" dxfId="108" priority="201" operator="containsText" text="V">
      <formula>NOT(ISERROR(SEARCH("V",J117)))</formula>
    </cfRule>
  </conditionalFormatting>
  <conditionalFormatting sqref="J118">
    <cfRule type="containsText" dxfId="107" priority="196" operator="containsText" text="P">
      <formula>NOT(ISERROR(SEARCH("P",J118)))</formula>
    </cfRule>
    <cfRule type="containsText" dxfId="106" priority="197" operator="containsText" text="E">
      <formula>NOT(ISERROR(SEARCH("E",J118)))</formula>
    </cfRule>
    <cfRule type="containsText" dxfId="105" priority="198" operator="containsText" text="V">
      <formula>NOT(ISERROR(SEARCH("V",J118)))</formula>
    </cfRule>
  </conditionalFormatting>
  <conditionalFormatting sqref="J119">
    <cfRule type="containsText" dxfId="104" priority="193" operator="containsText" text="P">
      <formula>NOT(ISERROR(SEARCH("P",J119)))</formula>
    </cfRule>
    <cfRule type="containsText" dxfId="103" priority="194" operator="containsText" text="E">
      <formula>NOT(ISERROR(SEARCH("E",J119)))</formula>
    </cfRule>
    <cfRule type="containsText" dxfId="102" priority="195" operator="containsText" text="V">
      <formula>NOT(ISERROR(SEARCH("V",J119)))</formula>
    </cfRule>
  </conditionalFormatting>
  <conditionalFormatting sqref="J120">
    <cfRule type="containsText" dxfId="101" priority="190" operator="containsText" text="P">
      <formula>NOT(ISERROR(SEARCH("P",J120)))</formula>
    </cfRule>
    <cfRule type="containsText" dxfId="100" priority="191" operator="containsText" text="E">
      <formula>NOT(ISERROR(SEARCH("E",J120)))</formula>
    </cfRule>
    <cfRule type="containsText" dxfId="99" priority="192" operator="containsText" text="V">
      <formula>NOT(ISERROR(SEARCH("V",J120)))</formula>
    </cfRule>
  </conditionalFormatting>
  <conditionalFormatting sqref="J121">
    <cfRule type="containsText" dxfId="98" priority="187" operator="containsText" text="P">
      <formula>NOT(ISERROR(SEARCH("P",J121)))</formula>
    </cfRule>
    <cfRule type="containsText" dxfId="97" priority="188" operator="containsText" text="E">
      <formula>NOT(ISERROR(SEARCH("E",J121)))</formula>
    </cfRule>
    <cfRule type="containsText" dxfId="96" priority="189" operator="containsText" text="V">
      <formula>NOT(ISERROR(SEARCH("V",J121)))</formula>
    </cfRule>
  </conditionalFormatting>
  <conditionalFormatting sqref="J122">
    <cfRule type="containsText" dxfId="95" priority="184" operator="containsText" text="P">
      <formula>NOT(ISERROR(SEARCH("P",J122)))</formula>
    </cfRule>
    <cfRule type="containsText" dxfId="94" priority="185" operator="containsText" text="E">
      <formula>NOT(ISERROR(SEARCH("E",J122)))</formula>
    </cfRule>
    <cfRule type="containsText" dxfId="93" priority="186" operator="containsText" text="V">
      <formula>NOT(ISERROR(SEARCH("V",J122)))</formula>
    </cfRule>
  </conditionalFormatting>
  <conditionalFormatting sqref="J123">
    <cfRule type="containsText" dxfId="92" priority="181" operator="containsText" text="P">
      <formula>NOT(ISERROR(SEARCH("P",J123)))</formula>
    </cfRule>
    <cfRule type="containsText" dxfId="91" priority="182" operator="containsText" text="E">
      <formula>NOT(ISERROR(SEARCH("E",J123)))</formula>
    </cfRule>
    <cfRule type="containsText" dxfId="90" priority="183" operator="containsText" text="V">
      <formula>NOT(ISERROR(SEARCH("V",J123)))</formula>
    </cfRule>
  </conditionalFormatting>
  <conditionalFormatting sqref="J124">
    <cfRule type="containsText" dxfId="89" priority="178" operator="containsText" text="P">
      <formula>NOT(ISERROR(SEARCH("P",J124)))</formula>
    </cfRule>
    <cfRule type="containsText" dxfId="88" priority="179" operator="containsText" text="E">
      <formula>NOT(ISERROR(SEARCH("E",J124)))</formula>
    </cfRule>
    <cfRule type="containsText" dxfId="87" priority="180" operator="containsText" text="V">
      <formula>NOT(ISERROR(SEARCH("V",J124)))</formula>
    </cfRule>
  </conditionalFormatting>
  <conditionalFormatting sqref="M63:M64 M93 M116 M71 M76:M77 M80:M81 M85:M90 M95:M96 M98:M114">
    <cfRule type="containsText" dxfId="86" priority="109" operator="containsText" text="P">
      <formula>NOT(ISERROR(SEARCH("P",M63)))</formula>
    </cfRule>
    <cfRule type="containsText" dxfId="85" priority="110" operator="containsText" text="E">
      <formula>NOT(ISERROR(SEARCH("E",M63)))</formula>
    </cfRule>
    <cfRule type="containsText" dxfId="84" priority="111" operator="containsText" text="V">
      <formula>NOT(ISERROR(SEARCH("V",M63)))</formula>
    </cfRule>
  </conditionalFormatting>
  <conditionalFormatting sqref="M117">
    <cfRule type="containsText" dxfId="83" priority="103" operator="containsText" text="P">
      <formula>NOT(ISERROR(SEARCH("P",M117)))</formula>
    </cfRule>
    <cfRule type="containsText" dxfId="82" priority="104" operator="containsText" text="E">
      <formula>NOT(ISERROR(SEARCH("E",M117)))</formula>
    </cfRule>
    <cfRule type="containsText" dxfId="81" priority="105" operator="containsText" text="V">
      <formula>NOT(ISERROR(SEARCH("V",M117)))</formula>
    </cfRule>
  </conditionalFormatting>
  <conditionalFormatting sqref="M118">
    <cfRule type="containsText" dxfId="80" priority="100" operator="containsText" text="P">
      <formula>NOT(ISERROR(SEARCH("P",M118)))</formula>
    </cfRule>
    <cfRule type="containsText" dxfId="79" priority="101" operator="containsText" text="E">
      <formula>NOT(ISERROR(SEARCH("E",M118)))</formula>
    </cfRule>
    <cfRule type="containsText" dxfId="78" priority="102" operator="containsText" text="V">
      <formula>NOT(ISERROR(SEARCH("V",M118)))</formula>
    </cfRule>
  </conditionalFormatting>
  <conditionalFormatting sqref="M62">
    <cfRule type="containsText" dxfId="77" priority="106" operator="containsText" text="P">
      <formula>NOT(ISERROR(SEARCH("P",M62)))</formula>
    </cfRule>
    <cfRule type="containsText" dxfId="76" priority="107" operator="containsText" text="V">
      <formula>NOT(ISERROR(SEARCH("V",M62)))</formula>
    </cfRule>
    <cfRule type="containsText" dxfId="75" priority="108" operator="containsText" text="E">
      <formula>NOT(ISERROR(SEARCH("E",M62)))</formula>
    </cfRule>
  </conditionalFormatting>
  <conditionalFormatting sqref="R112:R124">
    <cfRule type="containsText" dxfId="74" priority="73" operator="containsText" text="P">
      <formula>NOT(ISERROR(SEARCH("P",R112)))</formula>
    </cfRule>
    <cfRule type="containsText" dxfId="73" priority="74" operator="containsText" text="E">
      <formula>NOT(ISERROR(SEARCH("E",R112)))</formula>
    </cfRule>
    <cfRule type="containsText" dxfId="72" priority="75" operator="containsText" text="V">
      <formula>NOT(ISERROR(SEARCH("V",R112)))</formula>
    </cfRule>
  </conditionalFormatting>
  <conditionalFormatting sqref="I91">
    <cfRule type="containsText" dxfId="71" priority="70" operator="containsText" text="P">
      <formula>NOT(ISERROR(SEARCH("P",I91)))</formula>
    </cfRule>
    <cfRule type="containsText" dxfId="70" priority="71" operator="containsText" text="V">
      <formula>NOT(ISERROR(SEARCH("V",I91)))</formula>
    </cfRule>
    <cfRule type="containsText" dxfId="69" priority="72" operator="containsText" text="E">
      <formula>NOT(ISERROR(SEARCH("E",I91)))</formula>
    </cfRule>
  </conditionalFormatting>
  <conditionalFormatting sqref="L91">
    <cfRule type="containsText" dxfId="68" priority="67" operator="containsText" text="P">
      <formula>NOT(ISERROR(SEARCH("P",L91)))</formula>
    </cfRule>
    <cfRule type="containsText" dxfId="67" priority="68" operator="containsText" text="E">
      <formula>NOT(ISERROR(SEARCH("E",L91)))</formula>
    </cfRule>
    <cfRule type="containsText" dxfId="66" priority="69" operator="containsText" text="V">
      <formula>NOT(ISERROR(SEARCH("V",L91)))</formula>
    </cfRule>
  </conditionalFormatting>
  <conditionalFormatting sqref="J91">
    <cfRule type="containsText" dxfId="65" priority="64" operator="containsText" text="P">
      <formula>NOT(ISERROR(SEARCH("P",J91)))</formula>
    </cfRule>
    <cfRule type="containsText" dxfId="64" priority="65" operator="containsText" text="E">
      <formula>NOT(ISERROR(SEARCH("E",J91)))</formula>
    </cfRule>
    <cfRule type="containsText" dxfId="63" priority="66" operator="containsText" text="V">
      <formula>NOT(ISERROR(SEARCH("V",J91)))</formula>
    </cfRule>
  </conditionalFormatting>
  <conditionalFormatting sqref="M91">
    <cfRule type="containsText" dxfId="62" priority="61" operator="containsText" text="P">
      <formula>NOT(ISERROR(SEARCH("P",M91)))</formula>
    </cfRule>
    <cfRule type="containsText" dxfId="61" priority="62" operator="containsText" text="E">
      <formula>NOT(ISERROR(SEARCH("E",M91)))</formula>
    </cfRule>
    <cfRule type="containsText" dxfId="60" priority="63" operator="containsText" text="V">
      <formula>NOT(ISERROR(SEARCH("V",M91)))</formula>
    </cfRule>
  </conditionalFormatting>
  <conditionalFormatting sqref="I125:I132">
    <cfRule type="containsText" dxfId="59" priority="58" operator="containsText" text="P">
      <formula>NOT(ISERROR(SEARCH("P",I125)))</formula>
    </cfRule>
    <cfRule type="containsText" dxfId="58" priority="59" operator="containsText" text="V">
      <formula>NOT(ISERROR(SEARCH("V",I125)))</formula>
    </cfRule>
    <cfRule type="containsText" dxfId="57" priority="60" operator="containsText" text="E">
      <formula>NOT(ISERROR(SEARCH("E",I125)))</formula>
    </cfRule>
  </conditionalFormatting>
  <conditionalFormatting sqref="L125:L126">
    <cfRule type="containsText" dxfId="56" priority="55" operator="containsText" text="P">
      <formula>NOT(ISERROR(SEARCH("P",L125)))</formula>
    </cfRule>
    <cfRule type="containsText" dxfId="55" priority="56" operator="containsText" text="E">
      <formula>NOT(ISERROR(SEARCH("E",L125)))</formula>
    </cfRule>
    <cfRule type="containsText" dxfId="54" priority="57" operator="containsText" text="V">
      <formula>NOT(ISERROR(SEARCH("V",L125)))</formula>
    </cfRule>
  </conditionalFormatting>
  <conditionalFormatting sqref="S125:S132 O125:P132">
    <cfRule type="containsText" dxfId="53" priority="52" operator="containsText" text="P">
      <formula>NOT(ISERROR(SEARCH("P",O125)))</formula>
    </cfRule>
    <cfRule type="containsText" dxfId="52" priority="53" operator="containsText" text="E">
      <formula>NOT(ISERROR(SEARCH("E",O125)))</formula>
    </cfRule>
    <cfRule type="containsText" dxfId="51" priority="54" operator="containsText" text="V">
      <formula>NOT(ISERROR(SEARCH("V",O125)))</formula>
    </cfRule>
  </conditionalFormatting>
  <conditionalFormatting sqref="J125:J132">
    <cfRule type="containsText" dxfId="50" priority="49" operator="containsText" text="P">
      <formula>NOT(ISERROR(SEARCH("P",J125)))</formula>
    </cfRule>
    <cfRule type="containsText" dxfId="49" priority="50" operator="containsText" text="E">
      <formula>NOT(ISERROR(SEARCH("E",J125)))</formula>
    </cfRule>
    <cfRule type="containsText" dxfId="48" priority="51" operator="containsText" text="V">
      <formula>NOT(ISERROR(SEARCH("V",J125)))</formula>
    </cfRule>
  </conditionalFormatting>
  <conditionalFormatting sqref="M125:M126">
    <cfRule type="containsText" dxfId="47" priority="46" operator="containsText" text="P">
      <formula>NOT(ISERROR(SEARCH("P",M125)))</formula>
    </cfRule>
    <cfRule type="containsText" dxfId="46" priority="47" operator="containsText" text="E">
      <formula>NOT(ISERROR(SEARCH("E",M125)))</formula>
    </cfRule>
    <cfRule type="containsText" dxfId="45" priority="48" operator="containsText" text="V">
      <formula>NOT(ISERROR(SEARCH("V",M125)))</formula>
    </cfRule>
  </conditionalFormatting>
  <conditionalFormatting sqref="R125:R132">
    <cfRule type="containsText" dxfId="44" priority="43" operator="containsText" text="P">
      <formula>NOT(ISERROR(SEARCH("P",R125)))</formula>
    </cfRule>
    <cfRule type="containsText" dxfId="43" priority="44" operator="containsText" text="E">
      <formula>NOT(ISERROR(SEARCH("E",R125)))</formula>
    </cfRule>
    <cfRule type="containsText" dxfId="42" priority="45" operator="containsText" text="V">
      <formula>NOT(ISERROR(SEARCH("V",R125)))</formula>
    </cfRule>
  </conditionalFormatting>
  <conditionalFormatting sqref="L127:L133 L119:L124">
    <cfRule type="containsText" dxfId="41" priority="40" operator="containsText" text="P">
      <formula>NOT(ISERROR(SEARCH("P",L119)))</formula>
    </cfRule>
    <cfRule type="containsText" dxfId="40" priority="41" operator="containsText" text="E">
      <formula>NOT(ISERROR(SEARCH("E",L119)))</formula>
    </cfRule>
    <cfRule type="containsText" dxfId="39" priority="42" operator="containsText" text="V">
      <formula>NOT(ISERROR(SEARCH("V",L119)))</formula>
    </cfRule>
  </conditionalFormatting>
  <conditionalFormatting sqref="Q79">
    <cfRule type="containsText" dxfId="38" priority="37" operator="containsText" text="P">
      <formula>NOT(ISERROR(SEARCH("P",Q79)))</formula>
    </cfRule>
    <cfRule type="containsText" dxfId="37" priority="38" operator="containsText" text="E">
      <formula>NOT(ISERROR(SEARCH("E",Q79)))</formula>
    </cfRule>
    <cfRule type="containsText" dxfId="36" priority="39" operator="containsText" text="V">
      <formula>NOT(ISERROR(SEARCH("V",Q79)))</formula>
    </cfRule>
  </conditionalFormatting>
  <conditionalFormatting sqref="I13">
    <cfRule type="containsText" dxfId="35" priority="34" operator="containsText" text="P">
      <formula>NOT(ISERROR(SEARCH("P",I13)))</formula>
    </cfRule>
    <cfRule type="containsText" dxfId="34" priority="35" operator="containsText" text="V">
      <formula>NOT(ISERROR(SEARCH("V",I13)))</formula>
    </cfRule>
    <cfRule type="containsText" dxfId="33" priority="36" operator="containsText" text="E">
      <formula>NOT(ISERROR(SEARCH("E",I13)))</formula>
    </cfRule>
  </conditionalFormatting>
  <conditionalFormatting sqref="L13">
    <cfRule type="containsText" dxfId="32" priority="31" operator="containsText" text="P">
      <formula>NOT(ISERROR(SEARCH("P",L13)))</formula>
    </cfRule>
    <cfRule type="containsText" dxfId="31" priority="32" operator="containsText" text="E">
      <formula>NOT(ISERROR(SEARCH("E",L13)))</formula>
    </cfRule>
    <cfRule type="containsText" dxfId="30" priority="33" operator="containsText" text="V">
      <formula>NOT(ISERROR(SEARCH("V",L13)))</formula>
    </cfRule>
  </conditionalFormatting>
  <conditionalFormatting sqref="J13">
    <cfRule type="containsText" dxfId="29" priority="28" operator="containsText" text="P">
      <formula>NOT(ISERROR(SEARCH("P",J13)))</formula>
    </cfRule>
    <cfRule type="containsText" dxfId="28" priority="29" operator="containsText" text="E">
      <formula>NOT(ISERROR(SEARCH("E",J13)))</formula>
    </cfRule>
    <cfRule type="containsText" dxfId="27" priority="30" operator="containsText" text="V">
      <formula>NOT(ISERROR(SEARCH("V",J13)))</formula>
    </cfRule>
  </conditionalFormatting>
  <conditionalFormatting sqref="M13">
    <cfRule type="containsText" dxfId="26" priority="25" operator="containsText" text="P">
      <formula>NOT(ISERROR(SEARCH("P",M13)))</formula>
    </cfRule>
    <cfRule type="containsText" dxfId="25" priority="26" operator="containsText" text="E">
      <formula>NOT(ISERROR(SEARCH("E",M13)))</formula>
    </cfRule>
    <cfRule type="containsText" dxfId="24" priority="27" operator="containsText" text="V">
      <formula>NOT(ISERROR(SEARCH("V",M13)))</formula>
    </cfRule>
  </conditionalFormatting>
  <conditionalFormatting sqref="I18">
    <cfRule type="containsText" dxfId="23" priority="22" operator="containsText" text="P">
      <formula>NOT(ISERROR(SEARCH("P",I18)))</formula>
    </cfRule>
    <cfRule type="containsText" dxfId="22" priority="23" operator="containsText" text="V">
      <formula>NOT(ISERROR(SEARCH("V",I18)))</formula>
    </cfRule>
    <cfRule type="containsText" dxfId="21" priority="24" operator="containsText" text="E">
      <formula>NOT(ISERROR(SEARCH("E",I18)))</formula>
    </cfRule>
  </conditionalFormatting>
  <conditionalFormatting sqref="L18">
    <cfRule type="containsText" dxfId="20" priority="19" operator="containsText" text="P">
      <formula>NOT(ISERROR(SEARCH("P",L18)))</formula>
    </cfRule>
    <cfRule type="containsText" dxfId="19" priority="20" operator="containsText" text="E">
      <formula>NOT(ISERROR(SEARCH("E",L18)))</formula>
    </cfRule>
    <cfRule type="containsText" dxfId="18" priority="21" operator="containsText" text="V">
      <formula>NOT(ISERROR(SEARCH("V",L18)))</formula>
    </cfRule>
  </conditionalFormatting>
  <conditionalFormatting sqref="J18">
    <cfRule type="containsText" dxfId="17" priority="16" operator="containsText" text="P">
      <formula>NOT(ISERROR(SEARCH("P",J18)))</formula>
    </cfRule>
    <cfRule type="containsText" dxfId="16" priority="17" operator="containsText" text="E">
      <formula>NOT(ISERROR(SEARCH("E",J18)))</formula>
    </cfRule>
    <cfRule type="containsText" dxfId="15" priority="18" operator="containsText" text="V">
      <formula>NOT(ISERROR(SEARCH("V",J18)))</formula>
    </cfRule>
  </conditionalFormatting>
  <conditionalFormatting sqref="M18">
    <cfRule type="containsText" dxfId="14" priority="13" operator="containsText" text="P">
      <formula>NOT(ISERROR(SEARCH("P",M18)))</formula>
    </cfRule>
    <cfRule type="containsText" dxfId="13" priority="14" operator="containsText" text="E">
      <formula>NOT(ISERROR(SEARCH("E",M18)))</formula>
    </cfRule>
    <cfRule type="containsText" dxfId="12" priority="15" operator="containsText" text="V">
      <formula>NOT(ISERROR(SEARCH("V",M18)))</formula>
    </cfRule>
  </conditionalFormatting>
  <conditionalFormatting sqref="I97">
    <cfRule type="containsText" dxfId="11" priority="10" operator="containsText" text="P">
      <formula>NOT(ISERROR(SEARCH("P",I97)))</formula>
    </cfRule>
    <cfRule type="containsText" dxfId="10" priority="11" operator="containsText" text="V">
      <formula>NOT(ISERROR(SEARCH("V",I97)))</formula>
    </cfRule>
    <cfRule type="containsText" dxfId="9" priority="12" operator="containsText" text="E">
      <formula>NOT(ISERROR(SEARCH("E",I97)))</formula>
    </cfRule>
  </conditionalFormatting>
  <conditionalFormatting sqref="L97">
    <cfRule type="containsText" dxfId="8" priority="7" operator="containsText" text="P">
      <formula>NOT(ISERROR(SEARCH("P",L97)))</formula>
    </cfRule>
    <cfRule type="containsText" dxfId="7" priority="8" operator="containsText" text="E">
      <formula>NOT(ISERROR(SEARCH("E",L97)))</formula>
    </cfRule>
    <cfRule type="containsText" dxfId="6" priority="9" operator="containsText" text="V">
      <formula>NOT(ISERROR(SEARCH("V",L97)))</formula>
    </cfRule>
  </conditionalFormatting>
  <conditionalFormatting sqref="J97">
    <cfRule type="containsText" dxfId="5" priority="4" operator="containsText" text="P">
      <formula>NOT(ISERROR(SEARCH("P",J97)))</formula>
    </cfRule>
    <cfRule type="containsText" dxfId="4" priority="5" operator="containsText" text="E">
      <formula>NOT(ISERROR(SEARCH("E",J97)))</formula>
    </cfRule>
    <cfRule type="containsText" dxfId="3" priority="6" operator="containsText" text="V">
      <formula>NOT(ISERROR(SEARCH("V",J97)))</formula>
    </cfRule>
  </conditionalFormatting>
  <conditionalFormatting sqref="M97">
    <cfRule type="containsText" dxfId="2" priority="1" operator="containsText" text="P">
      <formula>NOT(ISERROR(SEARCH("P",M97)))</formula>
    </cfRule>
    <cfRule type="containsText" dxfId="1" priority="2" operator="containsText" text="E">
      <formula>NOT(ISERROR(SEARCH("E",M97)))</formula>
    </cfRule>
    <cfRule type="containsText" dxfId="0" priority="3" operator="containsText" text="V">
      <formula>NOT(ISERROR(SEARCH("V",M97)))</formula>
    </cfRule>
  </conditionalFormatting>
  <pageMargins left="0.25" right="0.25" top="0.75" bottom="0.75" header="0.3" footer="0.3"/>
  <pageSetup scale="76" orientation="landscape" r:id="rId1"/>
  <headerFooter>
    <oddFooter>&amp;RP-RH-007/F-893/00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F582-CC83-4382-A907-42A9D8FE70B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20025</vt:lpstr>
      <vt:lpstr>Hoja1</vt:lpstr>
      <vt:lpstr>'20025'!Área_de_impresión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Recepcion</dc:creator>
  <cp:lastModifiedBy>Recursos Humanos GLA</cp:lastModifiedBy>
  <cp:lastPrinted>2026-01-05T19:13:56Z</cp:lastPrinted>
  <dcterms:created xsi:type="dcterms:W3CDTF">2025-10-09T15:28:03Z</dcterms:created>
  <dcterms:modified xsi:type="dcterms:W3CDTF">2026-08-20T18:09:04Z</dcterms:modified>
</cp:coreProperties>
</file>